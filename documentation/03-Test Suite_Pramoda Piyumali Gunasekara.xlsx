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D:\Pramoda_Ideahub\My notes\Assignment\"/>
    </mc:Choice>
  </mc:AlternateContent>
  <xr:revisionPtr revIDLastSave="0" documentId="13_ncr:1_{3B7AB86C-F9C3-4889-B80E-044F1AC79C9E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Test Results" sheetId="2" r:id="rId1"/>
    <sheet name="Test Cases " sheetId="1" r:id="rId2"/>
    <sheet name="Assumptions" sheetId="3" r:id="rId3"/>
    <sheet name="Preconditions" sheetId="4" r:id="rId4"/>
    <sheet name="Test data" sheetId="5" r:id="rId5"/>
    <sheet name="README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7" roundtripDataChecksum="G9S4rhGy/xtLA5uEI4DMrpqP3G3AHSN6PkpuNuEkMpE="/>
    </ext>
  </extLst>
</workbook>
</file>

<file path=xl/calcChain.xml><?xml version="1.0" encoding="utf-8"?>
<calcChain xmlns="http://schemas.openxmlformats.org/spreadsheetml/2006/main">
  <c r="H27" i="2" l="1"/>
  <c r="G27" i="2"/>
  <c r="F27" i="2"/>
  <c r="E27" i="2"/>
  <c r="D27" i="2"/>
  <c r="C27" i="2"/>
  <c r="H26" i="2"/>
  <c r="G26" i="2"/>
  <c r="F26" i="2"/>
  <c r="E26" i="2"/>
  <c r="D26" i="2"/>
  <c r="C26" i="2"/>
  <c r="I26" i="2" s="1"/>
  <c r="L26" i="2" s="1"/>
  <c r="H25" i="2"/>
  <c r="G25" i="2"/>
  <c r="F25" i="2"/>
  <c r="E25" i="2"/>
  <c r="L25" i="2" s="1"/>
  <c r="D25" i="2"/>
  <c r="C25" i="2"/>
  <c r="I25" i="2" s="1"/>
  <c r="H24" i="2"/>
  <c r="G24" i="2"/>
  <c r="F24" i="2"/>
  <c r="E24" i="2"/>
  <c r="D24" i="2"/>
  <c r="C24" i="2"/>
  <c r="H23" i="2"/>
  <c r="G23" i="2"/>
  <c r="F23" i="2"/>
  <c r="E23" i="2"/>
  <c r="D23" i="2"/>
  <c r="C23" i="2"/>
  <c r="I23" i="2" s="1"/>
  <c r="L23" i="2" s="1"/>
  <c r="H22" i="2"/>
  <c r="G22" i="2"/>
  <c r="F22" i="2"/>
  <c r="E22" i="2"/>
  <c r="D22" i="2"/>
  <c r="C22" i="2"/>
  <c r="H21" i="2"/>
  <c r="G21" i="2"/>
  <c r="F21" i="2"/>
  <c r="E21" i="2"/>
  <c r="J21" i="2" s="1"/>
  <c r="D21" i="2"/>
  <c r="C21" i="2"/>
  <c r="I21" i="2" s="1"/>
  <c r="K21" i="2" s="1"/>
  <c r="H20" i="2"/>
  <c r="I20" i="2" s="1"/>
  <c r="G20" i="2"/>
  <c r="G28" i="2" s="1"/>
  <c r="F20" i="2"/>
  <c r="F28" i="2" s="1"/>
  <c r="E20" i="2"/>
  <c r="L20" i="2" s="1"/>
  <c r="D20" i="2"/>
  <c r="D28" i="2" s="1"/>
  <c r="C20" i="2"/>
  <c r="C28" i="2" s="1"/>
  <c r="H16" i="2"/>
  <c r="G16" i="2"/>
  <c r="F16" i="2"/>
  <c r="E16" i="2"/>
  <c r="D16" i="2"/>
  <c r="C16" i="2"/>
  <c r="I16" i="2" s="1"/>
  <c r="H15" i="2"/>
  <c r="G15" i="2"/>
  <c r="F15" i="2"/>
  <c r="E15" i="2"/>
  <c r="J15" i="2" s="1"/>
  <c r="D15" i="2"/>
  <c r="C15" i="2"/>
  <c r="I15" i="2" s="1"/>
  <c r="H14" i="2"/>
  <c r="G14" i="2"/>
  <c r="F14" i="2"/>
  <c r="E14" i="2"/>
  <c r="D14" i="2"/>
  <c r="C14" i="2"/>
  <c r="I14" i="2" s="1"/>
  <c r="J14" i="2" s="1"/>
  <c r="H13" i="2"/>
  <c r="G13" i="2"/>
  <c r="F13" i="2"/>
  <c r="E13" i="2"/>
  <c r="D13" i="2"/>
  <c r="C13" i="2"/>
  <c r="H12" i="2"/>
  <c r="G12" i="2"/>
  <c r="F12" i="2"/>
  <c r="E12" i="2"/>
  <c r="D12" i="2"/>
  <c r="C12" i="2"/>
  <c r="I12" i="2" s="1"/>
  <c r="K12" i="2" s="1"/>
  <c r="H11" i="2"/>
  <c r="G11" i="2"/>
  <c r="F11" i="2"/>
  <c r="E11" i="2"/>
  <c r="J11" i="2" s="1"/>
  <c r="D11" i="2"/>
  <c r="C11" i="2"/>
  <c r="I11" i="2" s="1"/>
  <c r="K11" i="2" s="1"/>
  <c r="H10" i="2"/>
  <c r="G10" i="2"/>
  <c r="F10" i="2"/>
  <c r="E10" i="2"/>
  <c r="D10" i="2"/>
  <c r="C10" i="2"/>
  <c r="I10" i="2" s="1"/>
  <c r="J10" i="2" s="1"/>
  <c r="H9" i="2"/>
  <c r="G9" i="2"/>
  <c r="F9" i="2"/>
  <c r="E9" i="2"/>
  <c r="D9" i="2"/>
  <c r="D17" i="2" s="1"/>
  <c r="C9" i="2"/>
  <c r="H8" i="2"/>
  <c r="H17" i="2" s="1"/>
  <c r="G8" i="2"/>
  <c r="G17" i="2" s="1"/>
  <c r="F8" i="2"/>
  <c r="F17" i="2" s="1"/>
  <c r="E8" i="2"/>
  <c r="E17" i="2" s="1"/>
  <c r="D8" i="2"/>
  <c r="C8" i="2"/>
  <c r="C17" i="2" s="1"/>
  <c r="L10" i="2" l="1"/>
  <c r="L14" i="2"/>
  <c r="J12" i="2"/>
  <c r="K27" i="2"/>
  <c r="L27" i="2"/>
  <c r="J8" i="2"/>
  <c r="K16" i="2"/>
  <c r="K23" i="2"/>
  <c r="L12" i="2"/>
  <c r="L16" i="2"/>
  <c r="K15" i="2"/>
  <c r="J20" i="2"/>
  <c r="K22" i="2"/>
  <c r="K26" i="2"/>
  <c r="K10" i="2"/>
  <c r="K14" i="2"/>
  <c r="J25" i="2"/>
  <c r="I8" i="2"/>
  <c r="I22" i="2"/>
  <c r="J22" i="2" s="1"/>
  <c r="K25" i="2"/>
  <c r="E28" i="2"/>
  <c r="L11" i="2"/>
  <c r="L15" i="2"/>
  <c r="J16" i="2"/>
  <c r="L21" i="2"/>
  <c r="J26" i="2"/>
  <c r="I13" i="2"/>
  <c r="L13" i="2" s="1"/>
  <c r="I27" i="2"/>
  <c r="I9" i="2"/>
  <c r="L9" i="2" s="1"/>
  <c r="L8" i="2"/>
  <c r="J9" i="2"/>
  <c r="J13" i="2"/>
  <c r="J23" i="2"/>
  <c r="J27" i="2"/>
  <c r="H28" i="2"/>
  <c r="I24" i="2"/>
  <c r="J24" i="2" s="1"/>
  <c r="K20" i="2"/>
  <c r="L22" i="2" l="1"/>
  <c r="K24" i="2"/>
  <c r="K9" i="2"/>
  <c r="I28" i="2"/>
  <c r="K28" i="2" s="1"/>
  <c r="K13" i="2"/>
  <c r="K8" i="2"/>
  <c r="I17" i="2"/>
  <c r="L24" i="2"/>
  <c r="J28" i="2" l="1"/>
  <c r="L28" i="2"/>
  <c r="J17" i="2"/>
  <c r="K17" i="2"/>
  <c r="L17" i="2"/>
</calcChain>
</file>

<file path=xl/sharedStrings.xml><?xml version="1.0" encoding="utf-8"?>
<sst xmlns="http://schemas.openxmlformats.org/spreadsheetml/2006/main" count="467" uniqueCount="260">
  <si>
    <t>Test Cases 
Module Name : eBay Best Sellers related products
Test Cycle : 1st Round</t>
  </si>
  <si>
    <t>Test
Case ID</t>
  </si>
  <si>
    <t>User Story</t>
  </si>
  <si>
    <t>Test Type</t>
  </si>
  <si>
    <t>Priority</t>
  </si>
  <si>
    <t>Pre Conditions</t>
  </si>
  <si>
    <t>Test Description</t>
  </si>
  <si>
    <t>Test Steps [Acceptance Criteria and Business Validations]</t>
  </si>
  <si>
    <t>Test Data</t>
  </si>
  <si>
    <t>Expected Results</t>
  </si>
  <si>
    <t>Test Cases Created By</t>
  </si>
  <si>
    <t>Test Status 
( Web)</t>
  </si>
  <si>
    <t>Actual Result
(if different to Expected)</t>
  </si>
  <si>
    <t>Defect ID</t>
  </si>
  <si>
    <t>Test Executed By</t>
  </si>
  <si>
    <t>Test Executed Date</t>
  </si>
  <si>
    <t>Notes</t>
  </si>
  <si>
    <t>TC_1</t>
  </si>
  <si>
    <t>eBay Best Sellers related products</t>
  </si>
  <si>
    <t>Functional</t>
  </si>
  <si>
    <t>High</t>
  </si>
  <si>
    <t>Related products configured</t>
  </si>
  <si>
    <t>Verify user searches the main product</t>
  </si>
  <si>
    <t>1. Navigate to the eBay web page
2. Search for a product</t>
  </si>
  <si>
    <t>The main product image with the details should be displayed</t>
  </si>
  <si>
    <t>Pramoda Gunasekara</t>
  </si>
  <si>
    <t>Not Executed</t>
  </si>
  <si>
    <t>TC_2</t>
  </si>
  <si>
    <t>UI</t>
  </si>
  <si>
    <t>Medium</t>
  </si>
  <si>
    <t>Verify the UI of the main product screen</t>
  </si>
  <si>
    <t>UI should be properly aligned with the Figma design</t>
  </si>
  <si>
    <t>TC_3</t>
  </si>
  <si>
    <t>User on product page</t>
  </si>
  <si>
    <t>Verify the "Related Products" section is displayed on the main product page</t>
  </si>
  <si>
    <t>1. Scroll to related products section.
2. Observe UI.</t>
  </si>
  <si>
    <t>Related products should be displayed under the " Similar Items title</t>
  </si>
  <si>
    <t>TC_4</t>
  </si>
  <si>
    <t>User on Related Products section</t>
  </si>
  <si>
    <t>Verify section header text</t>
  </si>
  <si>
    <t>1. Observe section title</t>
  </si>
  <si>
    <t>Section title should be "Similar sponsored items"</t>
  </si>
  <si>
    <t>TC_5</t>
  </si>
  <si>
    <t>Verify maximum 6 products are displayed</t>
  </si>
  <si>
    <t>1. Navigate to the eBay web page
2. Search for a product
3. Scroll to the related products section.</t>
  </si>
  <si>
    <t>6 wallet related products</t>
  </si>
  <si>
    <t xml:space="preserve">System should display maximum 6 products </t>
  </si>
  <si>
    <t>TC_6</t>
  </si>
  <si>
    <t>Verify more than 6 products are not displayed</t>
  </si>
  <si>
    <t>7 wallet related products</t>
  </si>
  <si>
    <t>More than 6 products should not be displayed</t>
  </si>
  <si>
    <t>TC_7</t>
  </si>
  <si>
    <t>Verify less than 6 products are displayed</t>
  </si>
  <si>
    <t>5 wallet related products</t>
  </si>
  <si>
    <t>Less than 6 products should be able to display</t>
  </si>
  <si>
    <t>TC_8</t>
  </si>
  <si>
    <t>Verify default display count</t>
  </si>
  <si>
    <t>4 wallet related products</t>
  </si>
  <si>
    <t>4 default products should be displayed</t>
  </si>
  <si>
    <t>TC_9</t>
  </si>
  <si>
    <t>Verify related products count when less than 6 products exist</t>
  </si>
  <si>
    <t>4 products should be displayed</t>
  </si>
  <si>
    <t>TC_10</t>
  </si>
  <si>
    <t>Verify related products section when no related products exist</t>
  </si>
  <si>
    <t>Main Product - Wallet
with No related products</t>
  </si>
  <si>
    <t>Related products section should not be displayed</t>
  </si>
  <si>
    <t>TC_11</t>
  </si>
  <si>
    <t>Verify the product image for related products</t>
  </si>
  <si>
    <t>Each product should display the image</t>
  </si>
  <si>
    <t>TC_12</t>
  </si>
  <si>
    <t>Verify the product title for related products</t>
  </si>
  <si>
    <t>Each product should display the title</t>
  </si>
  <si>
    <t>TC_13</t>
  </si>
  <si>
    <t>Verify the product price for related products</t>
  </si>
  <si>
    <t>Each product should display the price</t>
  </si>
  <si>
    <t>TC_14</t>
  </si>
  <si>
    <t>Verify clicking on a related product</t>
  </si>
  <si>
    <t>1. Navigate to the eBay web page
2. Search for a product
3. Scroll to the related products section.
4. Click on a related product</t>
  </si>
  <si>
    <t>System should navigate to correct product detail page</t>
  </si>
  <si>
    <t>TC_15</t>
  </si>
  <si>
    <t>Verify price range validation</t>
  </si>
  <si>
    <t>Acceptable price range” = 50% to 500% of main product price
Main Wallet Price - 1000 LKR</t>
  </si>
  <si>
    <t>All related products should be within defined price range</t>
  </si>
  <si>
    <t>TC_16</t>
  </si>
  <si>
    <t>Verify the products below 50% of main product price are not displayed</t>
  </si>
  <si>
    <t>Related Wallet Price - 499 LKR</t>
  </si>
  <si>
    <t>Products below 50% of main product price should not be displayed</t>
  </si>
  <si>
    <t>TC_17</t>
  </si>
  <si>
    <t>Verify the products equal to 50% of main product price are displayed</t>
  </si>
  <si>
    <t>Related Wallet Price - 500 LKR</t>
  </si>
  <si>
    <t>Products equal to 50% of main product price should be displayed</t>
  </si>
  <si>
    <t>TC_18</t>
  </si>
  <si>
    <t>Verify the products above 50% and below 500% of main product price are displayed</t>
  </si>
  <si>
    <t>Related Wallet Price - 2500 LKR</t>
  </si>
  <si>
    <t>Products above 50% and below 500% of main product price should be displayed</t>
  </si>
  <si>
    <t>TC_19</t>
  </si>
  <si>
    <t xml:space="preserve">Verify the products above 500% of main product price are not displayed </t>
  </si>
  <si>
    <t>Related Wallet Price - 5001 LKR</t>
  </si>
  <si>
    <t>Products above 500% of main product price should not be displayed</t>
  </si>
  <si>
    <t>TC_20</t>
  </si>
  <si>
    <t>Verify the products equal to 500% of main product price are displayed</t>
  </si>
  <si>
    <t>Related Wallet Price - 5000 LKR</t>
  </si>
  <si>
    <t>Products equal to 500% of main product price should be displayed</t>
  </si>
  <si>
    <t>TC_21</t>
  </si>
  <si>
    <t>Verify related products belong to the same category</t>
  </si>
  <si>
    <t>Category - Wallet</t>
  </si>
  <si>
    <t>All related products must belong to Wallet category</t>
  </si>
  <si>
    <t>TC_22</t>
  </si>
  <si>
    <t>Verify system does not display products that are related to a different category</t>
  </si>
  <si>
    <t>Category - Jewelry</t>
  </si>
  <si>
    <t>Jewelry products should not be displayed</t>
  </si>
  <si>
    <t>TC_23</t>
  </si>
  <si>
    <t>Verify the main product is excluded from the related products section</t>
  </si>
  <si>
    <t>The main product should not be included as a related product</t>
  </si>
  <si>
    <t>TC_24</t>
  </si>
  <si>
    <t>Verify duplicate products are not displayed</t>
  </si>
  <si>
    <t>Duplicate products should not be displayed</t>
  </si>
  <si>
    <t>TC_25</t>
  </si>
  <si>
    <t>Verify that the out of stock products are not displayed</t>
  </si>
  <si>
    <t>Out of stock related product</t>
  </si>
  <si>
    <t>Out of stock related products should be hidden</t>
  </si>
  <si>
    <t>TC_26</t>
  </si>
  <si>
    <t>Similar products related API fails</t>
  </si>
  <si>
    <t>Verify the behavior when a similar products related API fails</t>
  </si>
  <si>
    <t>A proper error message should be displayed: " We are sorry things don't appear to be working at the moment."</t>
  </si>
  <si>
    <t>TC_27</t>
  </si>
  <si>
    <t>Verify guest user can see related products</t>
  </si>
  <si>
    <t>1. Navigate to the eBay web page as a guest user
2. Search for a product
3. Scroll to the related products section.</t>
  </si>
  <si>
    <t>Guest user account : akiv12@gmail.com</t>
  </si>
  <si>
    <t>The guest user should be able to view the related products section</t>
  </si>
  <si>
    <t>TC_28</t>
  </si>
  <si>
    <t>Verify logged in user can see related products</t>
  </si>
  <si>
    <t>1. Log in to the eBay web page as an existing user
2. Search for a product
3. Scroll to the related products section.</t>
  </si>
  <si>
    <t>Logged in User Account
Username : Kesh
Password : Kesh@9966</t>
  </si>
  <si>
    <t>The logged in user should be able to view the related products section</t>
  </si>
  <si>
    <t>TC_29</t>
  </si>
  <si>
    <t>Compatibility</t>
  </si>
  <si>
    <t>User should log in via a desktop</t>
  </si>
  <si>
    <t>Verify the related products section displays on the desktop ( Chrome, Firefox, Edge )</t>
  </si>
  <si>
    <t>1. Navigate to the eBay web page using a desktop
2. Search for a product
3. Scroll to the related products section.</t>
  </si>
  <si>
    <t>The related products section should be properly displayed without any UI issues</t>
  </si>
  <si>
    <t>TC_30</t>
  </si>
  <si>
    <t>User should log in via a mobile device</t>
  </si>
  <si>
    <t>Verify the related products section displays on the mobile ( Android and iOS )</t>
  </si>
  <si>
    <t>1. Navigate to the eBay web page using a mobile device
2. Search for a product
3. Scroll to the related products section.</t>
  </si>
  <si>
    <t>TC_31</t>
  </si>
  <si>
    <t>Verify related products are displayed properly without overlap</t>
  </si>
  <si>
    <t>The related products section should be properly displayed without overlapping</t>
  </si>
  <si>
    <t>TC_32</t>
  </si>
  <si>
    <t>Verify related products load within acceptable time</t>
  </si>
  <si>
    <t>1. Navigate to the eBay web page
2. Search for a product
3. Check the time it takes to load the related products</t>
  </si>
  <si>
    <t>Related products should be loaded without any delay ( Within 3 seconds )</t>
  </si>
  <si>
    <t>Tests Executed By</t>
  </si>
  <si>
    <t>Tests Reviewed By</t>
  </si>
  <si>
    <t>Tests Sign off By</t>
  </si>
  <si>
    <t>Pass</t>
  </si>
  <si>
    <t>Fail</t>
  </si>
  <si>
    <t>On Hold</t>
  </si>
  <si>
    <t>N/A</t>
  </si>
  <si>
    <t>Out of Scope</t>
  </si>
  <si>
    <t>Total</t>
  </si>
  <si>
    <t>Executed %</t>
  </si>
  <si>
    <t>Pass %</t>
  </si>
  <si>
    <t>Fail %</t>
  </si>
  <si>
    <t>Smoke</t>
  </si>
  <si>
    <t>Integration</t>
  </si>
  <si>
    <t>Regression</t>
  </si>
  <si>
    <t>Exploratary</t>
  </si>
  <si>
    <t>Data Migration</t>
  </si>
  <si>
    <t>UAT</t>
  </si>
  <si>
    <t>Sub
Module Name</t>
  </si>
  <si>
    <t>CR 074</t>
  </si>
  <si>
    <t>CR 075</t>
  </si>
  <si>
    <t>CR 076</t>
  </si>
  <si>
    <t>CR 077</t>
  </si>
  <si>
    <t>CR 078</t>
  </si>
  <si>
    <t>CR 079</t>
  </si>
  <si>
    <t>CR 080</t>
  </si>
  <si>
    <t>Existing</t>
  </si>
  <si>
    <t>Question</t>
  </si>
  <si>
    <t>Assumption</t>
  </si>
  <si>
    <t>CL_1</t>
  </si>
  <si>
    <t>How is the price range defined? Is it a percentage or an amount?</t>
  </si>
  <si>
    <t>Percentage based: 50% to 500% of the main product price </t>
  </si>
  <si>
    <t>CL_2</t>
  </si>
  <si>
    <t>Does it need to include the shipping cost for price range comparison?</t>
  </si>
  <si>
    <t>Shipping costs are not included in the price comparison</t>
  </si>
  <si>
    <t>CL_3</t>
  </si>
  <si>
    <t>How is the "Same category" defined? ( with colors, materials, size, or design )</t>
  </si>
  <si>
    <t>Does not consider color, material or size variations</t>
  </si>
  <si>
    <t>CL_4</t>
  </si>
  <si>
    <t>If the searched product belongs to multiple categories, which category should be prioritized?</t>
  </si>
  <si>
    <t>The primary category is used</t>
  </si>
  <si>
    <t>CL_5</t>
  </si>
  <si>
    <t>Is there a minimum count? If only 1 product matches, how do we handle it?</t>
  </si>
  <si>
    <t>If 1-5 products match, all are displayed. No minimum threshold</t>
  </si>
  <si>
    <t>CL_6</t>
  </si>
  <si>
    <t>What happens if no related products match the category or price range?</t>
  </si>
  <si>
    <t>CL_7</t>
  </si>
  <si>
    <t>What happens if there are more than 6 related products that match? How to prioritize the display of 6 similar products?</t>
  </si>
  <si>
    <t>Display the top 6 based on sales rank</t>
  </si>
  <si>
    <t>CL_8</t>
  </si>
  <si>
    <t>If a product meets the category and price range but is out of stock, should it still appear in the similar product list?</t>
  </si>
  <si>
    <t>CL_9</t>
  </si>
  <si>
    <t>Should the main product be excluded from the related products list ?</t>
  </si>
  <si>
    <t>CL_10</t>
  </si>
  <si>
    <t>Does it need to consider the region when displaying best seller products list ?</t>
  </si>
  <si>
    <t>CL_11</t>
  </si>
  <si>
    <t>Does it need to display the same related products list for logged-in users and guest users?</t>
  </si>
  <si>
    <t>shows the same generic related products for both users</t>
  </si>
  <si>
    <t>CL_12</t>
  </si>
  <si>
    <t>What happens if the similar products related API fails? Are there any failure handling methods?</t>
  </si>
  <si>
    <t>The related products section is completely hidden if 0 products match</t>
  </si>
  <si>
    <t>Exclude from the related products section</t>
  </si>
  <si>
    <r>
      <t xml:space="preserve">Test Results Summary
</t>
    </r>
    <r>
      <rPr>
        <b/>
        <sz val="11"/>
        <color rgb="FFFFFFFF"/>
        <rFont val="Cambria"/>
      </rPr>
      <t>Module Name : eBay Best Sellers related products
Epic : eBay Best Sellers related products
Test Cycle : 1st Round</t>
    </r>
  </si>
  <si>
    <t>PC_1</t>
  </si>
  <si>
    <t>User has access to eBay website</t>
  </si>
  <si>
    <t>Wallet product exists in system</t>
  </si>
  <si>
    <t>Test environment is available</t>
  </si>
  <si>
    <t>Browser is installed</t>
  </si>
  <si>
    <t>PC_2</t>
  </si>
  <si>
    <t>PC_3</t>
  </si>
  <si>
    <t>PC_4</t>
  </si>
  <si>
    <t>PC_5</t>
  </si>
  <si>
    <t>Preconditions</t>
  </si>
  <si>
    <t>Preconditions
Module Name : eBay Best Sellers related products
Test Cycle : 1st Round</t>
  </si>
  <si>
    <t>ID</t>
  </si>
  <si>
    <t>Assumptions
Module Name : eBay Best Sellers related products
Test Cycle : 1st Round</t>
  </si>
  <si>
    <r>
      <t>Main product is never shown in its r</t>
    </r>
    <r>
      <rPr>
        <sz val="10"/>
        <color theme="1"/>
        <rFont val="Cambria"/>
        <family val="1"/>
      </rPr>
      <t>elated products</t>
    </r>
    <r>
      <rPr>
        <sz val="10"/>
        <color rgb="FF0F1115"/>
        <rFont val="Cambria"/>
        <family val="1"/>
      </rPr>
      <t xml:space="preserve"> list</t>
    </r>
  </si>
  <si>
    <r>
      <t>Best sellers are n</t>
    </r>
    <r>
      <rPr>
        <sz val="10"/>
        <color theme="1"/>
        <rFont val="Cambria"/>
        <family val="1"/>
      </rPr>
      <t xml:space="preserve">ot </t>
    </r>
    <r>
      <rPr>
        <sz val="10"/>
        <color rgb="FF0F1115"/>
        <rFont val="Cambria"/>
        <family val="1"/>
      </rPr>
      <t>region specific </t>
    </r>
  </si>
  <si>
    <r>
      <t>S</t>
    </r>
    <r>
      <rPr>
        <sz val="10"/>
        <color theme="1"/>
        <rFont val="Cambria"/>
        <family val="1"/>
      </rPr>
      <t>how a proper error message to inform the system failure</t>
    </r>
  </si>
  <si>
    <t>Product Name</t>
  </si>
  <si>
    <t>Category</t>
  </si>
  <si>
    <t>Price</t>
  </si>
  <si>
    <t>Best Seller</t>
  </si>
  <si>
    <t>Stock Status</t>
  </si>
  <si>
    <t>TD001</t>
  </si>
  <si>
    <t>Leather Wallet A</t>
  </si>
  <si>
    <t>Wallet</t>
  </si>
  <si>
    <t>Yes</t>
  </si>
  <si>
    <t>In Stock</t>
  </si>
  <si>
    <t>TD002</t>
  </si>
  <si>
    <t>Wallet B</t>
  </si>
  <si>
    <t>TD003</t>
  </si>
  <si>
    <t>Wallet C</t>
  </si>
  <si>
    <t>TD004</t>
  </si>
  <si>
    <t>Wallet D</t>
  </si>
  <si>
    <t>TD005</t>
  </si>
  <si>
    <t>LKR 1000</t>
  </si>
  <si>
    <t>LKR 500</t>
  </si>
  <si>
    <t>LKR 5000</t>
  </si>
  <si>
    <t>LKR 499</t>
  </si>
  <si>
    <t>Out of Stock</t>
  </si>
  <si>
    <t>LKR 2000</t>
  </si>
  <si>
    <t>Wallet E</t>
  </si>
  <si>
    <t>TD006</t>
  </si>
  <si>
    <t>Test Data
Module Name : eBay Best Sellers related products
Test Cycle : 1st Round</t>
  </si>
  <si>
    <t>Jewelry A</t>
  </si>
  <si>
    <t>Jewelry</t>
  </si>
  <si>
    <t>Name : Pramoda Piyumali Gunasekara
Position : Software QA Engineer
Date : 27.02.2026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</si>
</sst>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_);[Red]\(&quot;$&quot;#,##0\)"/>
    <numFmt numFmtId="164" formatCode="00"/>
    <numFmt numFmtId="165" formatCode="000"/>
    <numFmt numFmtId="166" formatCode="[$-409]dd/mmm/yy"/>
    <numFmt numFmtId="167" formatCode="0.0%"/>
  </numFmts>
  <fonts count="24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0"/>
      <color rgb="FFFFFFFF"/>
      <name val="Cambria"/>
    </font>
    <font>
      <sz val="11"/>
      <name val="Calibri"/>
    </font>
    <font>
      <b/>
      <sz val="10"/>
      <color theme="0"/>
      <name val="Cambria"/>
    </font>
    <font>
      <sz val="10"/>
      <color theme="1"/>
      <name val="Cambria"/>
    </font>
    <font>
      <sz val="10"/>
      <color theme="1"/>
      <name val="Calibri"/>
    </font>
    <font>
      <sz val="9"/>
      <color theme="1"/>
      <name val="Cambria"/>
    </font>
    <font>
      <b/>
      <sz val="9"/>
      <color theme="0"/>
      <name val="Cambria"/>
    </font>
    <font>
      <b/>
      <sz val="9"/>
      <color rgb="FFFFFFFF"/>
      <name val="Cambria"/>
    </font>
    <font>
      <b/>
      <sz val="9"/>
      <color rgb="FF000000"/>
      <name val="Cambria"/>
    </font>
    <font>
      <sz val="9"/>
      <color theme="0"/>
      <name val="Cambria"/>
    </font>
    <font>
      <b/>
      <sz val="9"/>
      <color theme="1"/>
      <name val="Cambria"/>
    </font>
    <font>
      <b/>
      <sz val="11"/>
      <color rgb="FFFFFFFF"/>
      <name val="Cambria"/>
    </font>
    <font>
      <b/>
      <sz val="11"/>
      <color theme="1"/>
      <name val="Calibri"/>
      <family val="2"/>
      <scheme val="minor"/>
    </font>
    <font>
      <sz val="11"/>
      <color theme="1"/>
      <name val="Cambria"/>
      <family val="1"/>
    </font>
    <font>
      <b/>
      <sz val="12"/>
      <color rgb="FFFFFFFF"/>
      <name val="Cambria"/>
      <family val="1"/>
    </font>
    <font>
      <b/>
      <sz val="10"/>
      <color rgb="FFFFFFFF"/>
      <name val="Cambria"/>
      <family val="1"/>
    </font>
    <font>
      <sz val="8"/>
      <name val="Calibri"/>
      <family val="2"/>
      <scheme val="minor"/>
    </font>
    <font>
      <sz val="10"/>
      <color theme="1"/>
      <name val="Cambria"/>
      <family val="1"/>
    </font>
    <font>
      <sz val="10"/>
      <color rgb="FF0F1115"/>
      <name val="Cambria"/>
      <family val="1"/>
    </font>
    <font>
      <sz val="11"/>
      <name val="Cambria"/>
      <family val="1"/>
    </font>
    <font>
      <b/>
      <sz val="11"/>
      <color theme="0"/>
      <name val="Cambria"/>
      <family val="1"/>
    </font>
    <font>
      <b/>
      <sz val="14"/>
      <color rgb="FF000000"/>
      <name val="Cambria"/>
      <family val="1"/>
    </font>
  </fonts>
  <fills count="15">
    <fill>
      <patternFill patternType="none"/>
    </fill>
    <fill>
      <patternFill patternType="gray125"/>
    </fill>
    <fill>
      <patternFill patternType="solid">
        <fgColor rgb="FF1E4E79"/>
        <bgColor rgb="FF1E4E79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0B5394"/>
        <bgColor rgb="FF0B5394"/>
      </patternFill>
    </fill>
    <fill>
      <patternFill patternType="solid">
        <fgColor rgb="FF38761D"/>
        <bgColor rgb="FF38761D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999999"/>
        <bgColor rgb="FF999999"/>
      </patternFill>
    </fill>
    <fill>
      <patternFill patternType="solid">
        <fgColor rgb="FF666666"/>
        <bgColor rgb="FF666666"/>
      </patternFill>
    </fill>
    <fill>
      <patternFill patternType="solid">
        <fgColor rgb="FFE2EFD9"/>
        <bgColor rgb="FFE2EFD9"/>
      </patternFill>
    </fill>
    <fill>
      <patternFill patternType="solid">
        <fgColor rgb="FF00B050"/>
        <bgColor rgb="FF00B050"/>
      </patternFill>
    </fill>
    <fill>
      <patternFill patternType="solid">
        <fgColor rgb="FF525252"/>
        <bgColor rgb="FF525252"/>
      </patternFill>
    </fill>
    <fill>
      <patternFill patternType="solid">
        <fgColor theme="1"/>
        <bgColor theme="1"/>
      </patternFill>
    </fill>
  </fills>
  <borders count="14">
    <border>
      <left/>
      <right/>
      <top/>
      <bottom/>
      <diagonal/>
    </border>
    <border>
      <left/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/>
      <top style="thin">
        <color rgb="FF00B0F0"/>
      </top>
      <bottom style="thin">
        <color rgb="FF00B0F0"/>
      </bottom>
      <diagonal/>
    </border>
    <border>
      <left style="thin">
        <color rgb="FF5B9BD5"/>
      </left>
      <right style="thin">
        <color rgb="FF5B9BD5"/>
      </right>
      <top/>
      <bottom style="thin">
        <color rgb="FF5B9BD5"/>
      </bottom>
      <diagonal/>
    </border>
    <border>
      <left style="thin">
        <color rgb="FF5B9BD5"/>
      </left>
      <right style="thin">
        <color rgb="FF5B9BD5"/>
      </right>
      <top style="thin">
        <color rgb="FF5B9BD5"/>
      </top>
      <bottom style="thin">
        <color rgb="FF5B9BD5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B0F0"/>
      </right>
      <top style="thin">
        <color rgb="FF00B0F0"/>
      </top>
      <bottom style="thin">
        <color rgb="FF00B0F0"/>
      </bottom>
      <diagonal/>
    </border>
    <border>
      <left/>
      <right/>
      <top style="thin">
        <color rgb="FF00B0F0"/>
      </top>
      <bottom style="thin">
        <color rgb="FF00B0F0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</borders>
  <cellStyleXfs count="1">
    <xf numFmtId="0" fontId="0" fillId="0" borderId="0"/>
  </cellStyleXfs>
  <cellXfs count="74">
    <xf numFmtId="0" fontId="0" fillId="0" borderId="0" xfId="0"/>
    <xf numFmtId="164" fontId="4" fillId="2" borderId="3" xfId="0" applyNumberFormat="1" applyFont="1" applyFill="1" applyBorder="1" applyAlignment="1">
      <alignment horizontal="center" vertical="top" wrapText="1"/>
    </xf>
    <xf numFmtId="0" fontId="4" fillId="2" borderId="3" xfId="0" applyFont="1" applyFill="1" applyBorder="1" applyAlignment="1">
      <alignment horizontal="center" vertical="top" wrapText="1"/>
    </xf>
    <xf numFmtId="0" fontId="2" fillId="2" borderId="4" xfId="0" applyFont="1" applyFill="1" applyBorder="1" applyAlignment="1">
      <alignment horizontal="center" vertical="top" wrapText="1"/>
    </xf>
    <xf numFmtId="0" fontId="4" fillId="2" borderId="4" xfId="0" applyFont="1" applyFill="1" applyBorder="1" applyAlignment="1">
      <alignment horizontal="center" vertical="top" wrapText="1"/>
    </xf>
    <xf numFmtId="49" fontId="4" fillId="2" borderId="3" xfId="0" applyNumberFormat="1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horizontal="center" vertical="top" wrapText="1"/>
    </xf>
    <xf numFmtId="165" fontId="4" fillId="2" borderId="3" xfId="0" applyNumberFormat="1" applyFont="1" applyFill="1" applyBorder="1" applyAlignment="1">
      <alignment horizontal="center" vertical="top" wrapText="1"/>
    </xf>
    <xf numFmtId="166" fontId="4" fillId="2" borderId="5" xfId="0" applyNumberFormat="1" applyFont="1" applyFill="1" applyBorder="1" applyAlignment="1">
      <alignment horizontal="center" vertical="top" wrapText="1"/>
    </xf>
    <xf numFmtId="0" fontId="4" fillId="2" borderId="6" xfId="0" applyFont="1" applyFill="1" applyBorder="1" applyAlignment="1">
      <alignment horizontal="center" vertical="top" wrapText="1"/>
    </xf>
    <xf numFmtId="0" fontId="5" fillId="3" borderId="0" xfId="0" applyFont="1" applyFill="1" applyAlignment="1">
      <alignment vertical="top" wrapText="1"/>
    </xf>
    <xf numFmtId="0" fontId="6" fillId="0" borderId="0" xfId="0" applyFont="1"/>
    <xf numFmtId="164" fontId="5" fillId="3" borderId="3" xfId="0" applyNumberFormat="1" applyFont="1" applyFill="1" applyBorder="1" applyAlignment="1">
      <alignment horizontal="center" vertical="top" wrapText="1"/>
    </xf>
    <xf numFmtId="0" fontId="5" fillId="3" borderId="3" xfId="0" applyFont="1" applyFill="1" applyBorder="1" applyAlignment="1">
      <alignment vertical="top" wrapText="1"/>
    </xf>
    <xf numFmtId="0" fontId="5" fillId="3" borderId="3" xfId="0" applyFont="1" applyFill="1" applyBorder="1" applyAlignment="1">
      <alignment horizontal="left" vertical="top" wrapText="1"/>
    </xf>
    <xf numFmtId="49" fontId="5" fillId="3" borderId="3" xfId="0" applyNumberFormat="1" applyFont="1" applyFill="1" applyBorder="1" applyAlignment="1">
      <alignment vertical="top" wrapText="1"/>
    </xf>
    <xf numFmtId="0" fontId="5" fillId="2" borderId="3" xfId="0" applyFont="1" applyFill="1" applyBorder="1" applyAlignment="1">
      <alignment vertical="top" wrapText="1"/>
    </xf>
    <xf numFmtId="165" fontId="5" fillId="3" borderId="3" xfId="0" applyNumberFormat="1" applyFont="1" applyFill="1" applyBorder="1" applyAlignment="1">
      <alignment horizontal="left" vertical="top" wrapText="1"/>
    </xf>
    <xf numFmtId="166" fontId="5" fillId="3" borderId="5" xfId="0" applyNumberFormat="1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6" fillId="3" borderId="0" xfId="0" applyFont="1" applyFill="1"/>
    <xf numFmtId="0" fontId="6" fillId="2" borderId="0" xfId="0" applyFont="1" applyFill="1"/>
    <xf numFmtId="0" fontId="7" fillId="4" borderId="10" xfId="0" applyFont="1" applyFill="1" applyBorder="1"/>
    <xf numFmtId="0" fontId="7" fillId="3" borderId="10" xfId="0" applyFont="1" applyFill="1" applyBorder="1"/>
    <xf numFmtId="0" fontId="9" fillId="5" borderId="3" xfId="0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 wrapText="1"/>
    </xf>
    <xf numFmtId="0" fontId="9" fillId="6" borderId="3" xfId="0" applyFont="1" applyFill="1" applyBorder="1" applyAlignment="1">
      <alignment horizontal="center" vertical="center" wrapText="1"/>
    </xf>
    <xf numFmtId="0" fontId="9" fillId="7" borderId="3" xfId="0" applyFont="1" applyFill="1" applyBorder="1" applyAlignment="1">
      <alignment horizontal="center" vertical="center" wrapText="1"/>
    </xf>
    <xf numFmtId="0" fontId="10" fillId="8" borderId="3" xfId="0" applyFont="1" applyFill="1" applyBorder="1" applyAlignment="1">
      <alignment horizontal="center" vertical="center" wrapText="1"/>
    </xf>
    <xf numFmtId="0" fontId="9" fillId="9" borderId="3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left"/>
    </xf>
    <xf numFmtId="0" fontId="7" fillId="4" borderId="3" xfId="0" applyFont="1" applyFill="1" applyBorder="1" applyAlignment="1">
      <alignment horizontal="center"/>
    </xf>
    <xf numFmtId="167" fontId="7" fillId="4" borderId="3" xfId="0" applyNumberFormat="1" applyFont="1" applyFill="1" applyBorder="1" applyAlignment="1">
      <alignment horizontal="center"/>
    </xf>
    <xf numFmtId="0" fontId="11" fillId="5" borderId="3" xfId="0" applyFont="1" applyFill="1" applyBorder="1"/>
    <xf numFmtId="0" fontId="8" fillId="5" borderId="3" xfId="0" applyFont="1" applyFill="1" applyBorder="1" applyAlignment="1">
      <alignment horizontal="center"/>
    </xf>
    <xf numFmtId="167" fontId="8" fillId="5" borderId="3" xfId="0" applyNumberFormat="1" applyFont="1" applyFill="1" applyBorder="1" applyAlignment="1">
      <alignment horizontal="center"/>
    </xf>
    <xf numFmtId="0" fontId="7" fillId="11" borderId="10" xfId="0" applyFont="1" applyFill="1" applyBorder="1"/>
    <xf numFmtId="0" fontId="8" fillId="2" borderId="3" xfId="0" applyFont="1" applyFill="1" applyBorder="1" applyAlignment="1">
      <alignment horizontal="center" vertical="center" wrapText="1"/>
    </xf>
    <xf numFmtId="0" fontId="12" fillId="11" borderId="3" xfId="0" applyFont="1" applyFill="1" applyBorder="1" applyAlignment="1">
      <alignment horizontal="center" vertical="center" wrapText="1"/>
    </xf>
    <xf numFmtId="0" fontId="8" fillId="12" borderId="3" xfId="0" applyFont="1" applyFill="1" applyBorder="1" applyAlignment="1">
      <alignment horizontal="center" vertical="center" wrapText="1"/>
    </xf>
    <xf numFmtId="0" fontId="8" fillId="7" borderId="3" xfId="0" applyFont="1" applyFill="1" applyBorder="1" applyAlignment="1">
      <alignment horizontal="center" vertical="center" wrapText="1"/>
    </xf>
    <xf numFmtId="0" fontId="12" fillId="8" borderId="3" xfId="0" applyFont="1" applyFill="1" applyBorder="1" applyAlignment="1">
      <alignment horizontal="center" vertical="center" wrapText="1"/>
    </xf>
    <xf numFmtId="0" fontId="8" fillId="13" borderId="3" xfId="0" applyFont="1" applyFill="1" applyBorder="1" applyAlignment="1">
      <alignment horizontal="center" vertical="center" wrapText="1"/>
    </xf>
    <xf numFmtId="0" fontId="7" fillId="11" borderId="3" xfId="0" applyFont="1" applyFill="1" applyBorder="1" applyAlignment="1">
      <alignment horizontal="left"/>
    </xf>
    <xf numFmtId="0" fontId="7" fillId="11" borderId="3" xfId="0" applyFont="1" applyFill="1" applyBorder="1" applyAlignment="1">
      <alignment horizontal="center"/>
    </xf>
    <xf numFmtId="167" fontId="7" fillId="11" borderId="3" xfId="0" applyNumberFormat="1" applyFont="1" applyFill="1" applyBorder="1" applyAlignment="1">
      <alignment horizontal="center"/>
    </xf>
    <xf numFmtId="0" fontId="11" fillId="2" borderId="3" xfId="0" applyFont="1" applyFill="1" applyBorder="1"/>
    <xf numFmtId="0" fontId="8" fillId="2" borderId="3" xfId="0" applyFont="1" applyFill="1" applyBorder="1" applyAlignment="1">
      <alignment horizontal="center"/>
    </xf>
    <xf numFmtId="167" fontId="8" fillId="2" borderId="3" xfId="0" applyNumberFormat="1" applyFont="1" applyFill="1" applyBorder="1" applyAlignment="1">
      <alignment horizontal="center"/>
    </xf>
    <xf numFmtId="0" fontId="7" fillId="14" borderId="10" xfId="0" applyFont="1" applyFill="1" applyBorder="1"/>
    <xf numFmtId="0" fontId="1" fillId="0" borderId="0" xfId="0" applyFont="1" applyAlignment="1">
      <alignment horizontal="left" vertical="top"/>
    </xf>
    <xf numFmtId="0" fontId="14" fillId="0" borderId="0" xfId="0" applyFont="1" applyAlignment="1">
      <alignment horizontal="left" vertical="top"/>
    </xf>
    <xf numFmtId="0" fontId="19" fillId="0" borderId="13" xfId="0" applyFont="1" applyBorder="1" applyAlignment="1">
      <alignment horizontal="left" vertical="top" wrapText="1"/>
    </xf>
    <xf numFmtId="0" fontId="20" fillId="0" borderId="13" xfId="0" applyFont="1" applyBorder="1" applyAlignment="1">
      <alignment horizontal="left" vertical="top" wrapText="1"/>
    </xf>
    <xf numFmtId="0" fontId="19" fillId="0" borderId="13" xfId="0" applyFont="1" applyBorder="1" applyAlignment="1">
      <alignment vertical="top" wrapText="1"/>
    </xf>
    <xf numFmtId="0" fontId="15" fillId="0" borderId="0" xfId="0" applyFont="1"/>
    <xf numFmtId="0" fontId="15" fillId="0" borderId="0" xfId="0" applyFont="1" applyAlignment="1">
      <alignment horizontal="left" vertical="top"/>
    </xf>
    <xf numFmtId="0" fontId="15" fillId="0" borderId="0" xfId="0" applyFont="1" applyAlignment="1">
      <alignment vertical="top"/>
    </xf>
    <xf numFmtId="0" fontId="22" fillId="2" borderId="3" xfId="0" applyFont="1" applyFill="1" applyBorder="1" applyAlignment="1">
      <alignment horizontal="left" vertical="top" wrapText="1"/>
    </xf>
    <xf numFmtId="6" fontId="19" fillId="0" borderId="13" xfId="0" applyNumberFormat="1" applyFont="1" applyBorder="1" applyAlignment="1">
      <alignment horizontal="left" vertical="top" wrapText="1"/>
    </xf>
    <xf numFmtId="0" fontId="19" fillId="0" borderId="0" xfId="0" applyFont="1" applyAlignment="1">
      <alignment horizontal="left" vertical="top"/>
    </xf>
    <xf numFmtId="0" fontId="8" fillId="5" borderId="5" xfId="0" applyFont="1" applyFill="1" applyBorder="1" applyAlignment="1">
      <alignment horizontal="left" vertical="center"/>
    </xf>
    <xf numFmtId="0" fontId="3" fillId="0" borderId="11" xfId="0" applyFont="1" applyBorder="1"/>
    <xf numFmtId="0" fontId="7" fillId="4" borderId="5" xfId="0" applyFont="1" applyFill="1" applyBorder="1" applyAlignment="1">
      <alignment horizontal="left" vertical="center"/>
    </xf>
    <xf numFmtId="0" fontId="3" fillId="0" borderId="12" xfId="0" applyFont="1" applyBorder="1"/>
    <xf numFmtId="0" fontId="16" fillId="2" borderId="8" xfId="0" applyFont="1" applyFill="1" applyBorder="1" applyAlignment="1">
      <alignment horizontal="left" vertical="center" wrapText="1"/>
    </xf>
    <xf numFmtId="0" fontId="3" fillId="0" borderId="9" xfId="0" applyFont="1" applyBorder="1"/>
    <xf numFmtId="0" fontId="17" fillId="2" borderId="1" xfId="0" applyFont="1" applyFill="1" applyBorder="1" applyAlignment="1">
      <alignment horizontal="left" vertical="top" wrapText="1"/>
    </xf>
    <xf numFmtId="0" fontId="3" fillId="0" borderId="2" xfId="0" applyFont="1" applyBorder="1"/>
    <xf numFmtId="0" fontId="21" fillId="0" borderId="2" xfId="0" applyFont="1" applyBorder="1"/>
    <xf numFmtId="0" fontId="17" fillId="2" borderId="10" xfId="0" applyFont="1" applyFill="1" applyBorder="1" applyAlignment="1">
      <alignment horizontal="left" vertical="top" wrapText="1"/>
    </xf>
    <xf numFmtId="0" fontId="23" fillId="0" borderId="0" xfId="0" applyFont="1" applyAlignment="1">
      <alignment horizontal="left" vertical="top" wrapText="1"/>
    </xf>
    <xf numFmtId="0" fontId="23" fillId="0" borderId="0" xfId="0" applyFont="1" applyAlignment="1">
      <alignment horizontal="left" vertical="top"/>
    </xf>
  </cellXfs>
  <cellStyles count="1">
    <cellStyle name="Normal" xfId="0" builtinId="0"/>
  </cellStyles>
  <dxfs count="4"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7F7F7F"/>
          <bgColor rgb="FF7F7F7F"/>
        </patternFill>
      </fill>
    </dxf>
  </dxfs>
  <tableStyles count="0" defaultTableStyle="TableStyleMedium2" defaultPivotStyle="PivotStyleLight16"/>
  <colors>
    <mruColors>
      <color rgb="FF00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showGridLines="0" workbookViewId="0">
      <selection activeCell="N13" sqref="N13"/>
    </sheetView>
  </sheetViews>
  <sheetFormatPr defaultColWidth="14.44140625" defaultRowHeight="15" customHeight="1"/>
  <cols>
    <col min="1" max="1" width="3.33203125" customWidth="1"/>
    <col min="2" max="2" width="27.33203125" customWidth="1"/>
    <col min="3" max="8" width="11.33203125" customWidth="1"/>
    <col min="9" max="9" width="19.6640625" customWidth="1"/>
    <col min="10" max="11" width="11.33203125" customWidth="1"/>
    <col min="12" max="12" width="13.44140625" customWidth="1"/>
    <col min="13" max="26" width="8.88671875" customWidth="1"/>
  </cols>
  <sheetData>
    <row r="1" spans="1:26" ht="68.25" customHeight="1">
      <c r="A1" s="66" t="s">
        <v>214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</row>
    <row r="2" spans="1:26" ht="11.25" customHeight="1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 spans="1:26" ht="27.75" customHeight="1">
      <c r="A3" s="22"/>
      <c r="B3" s="62" t="s">
        <v>152</v>
      </c>
      <c r="C3" s="63"/>
      <c r="D3" s="64"/>
      <c r="E3" s="65"/>
      <c r="F3" s="65"/>
      <c r="G3" s="65"/>
      <c r="H3" s="65"/>
      <c r="I3" s="65"/>
      <c r="J3" s="65"/>
      <c r="K3" s="65"/>
      <c r="L3" s="6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 spans="1:26" ht="27.75" customHeight="1">
      <c r="A4" s="22"/>
      <c r="B4" s="62" t="s">
        <v>153</v>
      </c>
      <c r="C4" s="63"/>
      <c r="D4" s="64"/>
      <c r="E4" s="65"/>
      <c r="F4" s="65"/>
      <c r="G4" s="65"/>
      <c r="H4" s="65"/>
      <c r="I4" s="65"/>
      <c r="J4" s="65"/>
      <c r="K4" s="65"/>
      <c r="L4" s="6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 spans="1:26" ht="33" customHeight="1">
      <c r="A5" s="22"/>
      <c r="B5" s="62" t="s">
        <v>154</v>
      </c>
      <c r="C5" s="63"/>
      <c r="D5" s="64"/>
      <c r="E5" s="65"/>
      <c r="F5" s="65"/>
      <c r="G5" s="65"/>
      <c r="H5" s="65"/>
      <c r="I5" s="65"/>
      <c r="J5" s="65"/>
      <c r="K5" s="65"/>
      <c r="L5" s="6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 spans="1:26" ht="11.25" customHeight="1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 spans="1:26" ht="24" customHeight="1">
      <c r="A7" s="22"/>
      <c r="B7" s="24" t="s">
        <v>3</v>
      </c>
      <c r="C7" s="25" t="s">
        <v>26</v>
      </c>
      <c r="D7" s="26" t="s">
        <v>155</v>
      </c>
      <c r="E7" s="27" t="s">
        <v>156</v>
      </c>
      <c r="F7" s="28" t="s">
        <v>157</v>
      </c>
      <c r="G7" s="29" t="s">
        <v>158</v>
      </c>
      <c r="H7" s="30" t="s">
        <v>159</v>
      </c>
      <c r="I7" s="24" t="s">
        <v>160</v>
      </c>
      <c r="J7" s="24" t="s">
        <v>161</v>
      </c>
      <c r="K7" s="26" t="s">
        <v>162</v>
      </c>
      <c r="L7" s="27" t="s">
        <v>163</v>
      </c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 spans="1:26" ht="11.25" customHeight="1">
      <c r="A8" s="22"/>
      <c r="B8" s="31" t="s">
        <v>164</v>
      </c>
      <c r="C8" s="32">
        <f>COUNTIFS('Test Cases '!$C:$C,'Test Results'!$B8,'Test Cases '!$L:$L,'Test Results'!C$7)</f>
        <v>0</v>
      </c>
      <c r="D8" s="32">
        <f>COUNTIFS('Test Cases '!$C:$C,'Test Results'!$B8,'Test Cases '!$L:$L,'Test Results'!D$7)</f>
        <v>0</v>
      </c>
      <c r="E8" s="32">
        <f>COUNTIFS('Test Cases '!$C:$C,'Test Results'!$B8,'Test Cases '!$L:$L,'Test Results'!E$7)</f>
        <v>0</v>
      </c>
      <c r="F8" s="32">
        <f>COUNTIFS('Test Cases '!$C:$C,'Test Results'!$B8,'Test Cases '!$L:$L,'Test Results'!F$7)</f>
        <v>0</v>
      </c>
      <c r="G8" s="32">
        <f>COUNTIFS('Test Cases '!$C:$C,'Test Results'!$B8,'Test Cases '!$L:$L,'Test Results'!G$7)</f>
        <v>0</v>
      </c>
      <c r="H8" s="32">
        <f>COUNTIFS('Test Cases '!$C:$C,'Test Results'!$B8,'Test Cases '!$L:$L,'Test Results'!H$7)</f>
        <v>0</v>
      </c>
      <c r="I8" s="32">
        <f t="shared" ref="I8:I16" si="0">SUM(C8:H8)</f>
        <v>0</v>
      </c>
      <c r="J8" s="33">
        <f t="shared" ref="J8:J17" si="1">IFERROR(($D8+$E8)/($I8-$H8-$G8),0)</f>
        <v>0</v>
      </c>
      <c r="K8" s="33">
        <f t="shared" ref="K8:K17" si="2">IFERROR($D8/($I8-$H8-$G8),0)</f>
        <v>0</v>
      </c>
      <c r="L8" s="33">
        <f t="shared" ref="L8:L17" si="3">IFERROR($E8/($I8-$H8-$G8),0)</f>
        <v>0</v>
      </c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 spans="1:26" ht="11.25" customHeight="1">
      <c r="A9" s="22"/>
      <c r="B9" s="31" t="s">
        <v>19</v>
      </c>
      <c r="C9" s="32">
        <f>COUNTIFS('Test Cases '!$C:$C,'Test Results'!$B9,'Test Cases '!$L:$L,'Test Results'!C$7)</f>
        <v>28</v>
      </c>
      <c r="D9" s="32">
        <f>COUNTIFS('Test Cases '!$C:$C,'Test Results'!$B9,'Test Cases '!$L:$L,'Test Results'!D$7)</f>
        <v>0</v>
      </c>
      <c r="E9" s="32">
        <f>COUNTIFS('Test Cases '!$C:$C,'Test Results'!$B9,'Test Cases '!$L:$L,'Test Results'!E$7)</f>
        <v>0</v>
      </c>
      <c r="F9" s="32">
        <f>COUNTIFS('Test Cases '!$C:$C,'Test Results'!$B9,'Test Cases '!$L:$L,'Test Results'!F$7)</f>
        <v>0</v>
      </c>
      <c r="G9" s="32">
        <f>COUNTIFS('Test Cases '!$C:$C,'Test Results'!$B9,'Test Cases '!$L:$L,'Test Results'!G$7)</f>
        <v>0</v>
      </c>
      <c r="H9" s="32">
        <f>COUNTIFS('Test Cases '!$C:$C,'Test Results'!$B9,'Test Cases '!$L:$L,'Test Results'!H$7)</f>
        <v>0</v>
      </c>
      <c r="I9" s="32">
        <f t="shared" si="0"/>
        <v>28</v>
      </c>
      <c r="J9" s="33">
        <f t="shared" si="1"/>
        <v>0</v>
      </c>
      <c r="K9" s="33">
        <f t="shared" si="2"/>
        <v>0</v>
      </c>
      <c r="L9" s="33">
        <f t="shared" si="3"/>
        <v>0</v>
      </c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 spans="1:26" ht="11.25" customHeight="1">
      <c r="A10" s="22"/>
      <c r="B10" s="31" t="s">
        <v>165</v>
      </c>
      <c r="C10" s="32">
        <f>COUNTIFS('Test Cases '!$C:$C,'Test Results'!$B10,'Test Cases '!$L:$L,'Test Results'!C$7)</f>
        <v>0</v>
      </c>
      <c r="D10" s="32">
        <f>COUNTIFS('Test Cases '!$C:$C,'Test Results'!$B10,'Test Cases '!$L:$L,'Test Results'!D$7)</f>
        <v>0</v>
      </c>
      <c r="E10" s="32">
        <f>COUNTIFS('Test Cases '!$C:$C,'Test Results'!$B10,'Test Cases '!$L:$L,'Test Results'!E$7)</f>
        <v>0</v>
      </c>
      <c r="F10" s="32">
        <f>COUNTIFS('Test Cases '!$C:$C,'Test Results'!$B10,'Test Cases '!$L:$L,'Test Results'!F$7)</f>
        <v>0</v>
      </c>
      <c r="G10" s="32">
        <f>COUNTIFS('Test Cases '!$C:$C,'Test Results'!$B10,'Test Cases '!$L:$L,'Test Results'!G$7)</f>
        <v>0</v>
      </c>
      <c r="H10" s="32">
        <f>COUNTIFS('Test Cases '!$C:$C,'Test Results'!$B10,'Test Cases '!$L:$L,'Test Results'!H$7)</f>
        <v>0</v>
      </c>
      <c r="I10" s="32">
        <f t="shared" si="0"/>
        <v>0</v>
      </c>
      <c r="J10" s="33">
        <f t="shared" si="1"/>
        <v>0</v>
      </c>
      <c r="K10" s="33">
        <f t="shared" si="2"/>
        <v>0</v>
      </c>
      <c r="L10" s="33">
        <f t="shared" si="3"/>
        <v>0</v>
      </c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spans="1:26" ht="11.25" customHeight="1">
      <c r="A11" s="22"/>
      <c r="B11" s="31" t="s">
        <v>166</v>
      </c>
      <c r="C11" s="32">
        <f>COUNTIFS('Test Cases '!$C:$C,'Test Results'!$B11,'Test Cases '!$L:$L,'Test Results'!C$7)</f>
        <v>0</v>
      </c>
      <c r="D11" s="32">
        <f>COUNTIFS('Test Cases '!$C:$C,'Test Results'!$B11,'Test Cases '!$L:$L,'Test Results'!D$7)</f>
        <v>0</v>
      </c>
      <c r="E11" s="32">
        <f>COUNTIFS('Test Cases '!$C:$C,'Test Results'!$B11,'Test Cases '!$L:$L,'Test Results'!E$7)</f>
        <v>0</v>
      </c>
      <c r="F11" s="32">
        <f>COUNTIFS('Test Cases '!$C:$C,'Test Results'!$B11,'Test Cases '!$L:$L,'Test Results'!F$7)</f>
        <v>0</v>
      </c>
      <c r="G11" s="32">
        <f>COUNTIFS('Test Cases '!$C:$C,'Test Results'!$B11,'Test Cases '!$L:$L,'Test Results'!G$7)</f>
        <v>0</v>
      </c>
      <c r="H11" s="32">
        <f>COUNTIFS('Test Cases '!$C:$C,'Test Results'!$B11,'Test Cases '!$L:$L,'Test Results'!H$7)</f>
        <v>0</v>
      </c>
      <c r="I11" s="32">
        <f t="shared" si="0"/>
        <v>0</v>
      </c>
      <c r="J11" s="33">
        <f t="shared" si="1"/>
        <v>0</v>
      </c>
      <c r="K11" s="33">
        <f t="shared" si="2"/>
        <v>0</v>
      </c>
      <c r="L11" s="33">
        <f t="shared" si="3"/>
        <v>0</v>
      </c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spans="1:26" ht="11.25" customHeight="1">
      <c r="A12" s="22"/>
      <c r="B12" s="31" t="s">
        <v>28</v>
      </c>
      <c r="C12" s="32">
        <f>COUNTIFS('Test Cases '!$C:$C,'Test Results'!$B12,'Test Cases '!$L:$L,'Test Results'!C$7)</f>
        <v>2</v>
      </c>
      <c r="D12" s="32">
        <f>COUNTIFS('Test Cases '!$C:$C,'Test Results'!$B12,'Test Cases '!$L:$L,'Test Results'!D$7)</f>
        <v>0</v>
      </c>
      <c r="E12" s="32">
        <f>COUNTIFS('Test Cases '!$C:$C,'Test Results'!$B12,'Test Cases '!$L:$L,'Test Results'!E$7)</f>
        <v>0</v>
      </c>
      <c r="F12" s="32">
        <f>COUNTIFS('Test Cases '!$C:$C,'Test Results'!$B12,'Test Cases '!$L:$L,'Test Results'!F$7)</f>
        <v>0</v>
      </c>
      <c r="G12" s="32">
        <f>COUNTIFS('Test Cases '!$C:$C,'Test Results'!$B12,'Test Cases '!$L:$L,'Test Results'!G$7)</f>
        <v>0</v>
      </c>
      <c r="H12" s="32">
        <f>COUNTIFS('Test Cases '!$C:$C,'Test Results'!$B12,'Test Cases '!$L:$L,'Test Results'!H$7)</f>
        <v>0</v>
      </c>
      <c r="I12" s="32">
        <f t="shared" si="0"/>
        <v>2</v>
      </c>
      <c r="J12" s="33">
        <f t="shared" si="1"/>
        <v>0</v>
      </c>
      <c r="K12" s="33">
        <f t="shared" si="2"/>
        <v>0</v>
      </c>
      <c r="L12" s="33">
        <f t="shared" si="3"/>
        <v>0</v>
      </c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spans="1:26" ht="11.25" customHeight="1">
      <c r="A13" s="22"/>
      <c r="B13" s="31" t="s">
        <v>136</v>
      </c>
      <c r="C13" s="32">
        <f>COUNTIFS('Test Cases '!$C:$C,'Test Results'!$B13,'Test Cases '!$L:$L,'Test Results'!C$7)</f>
        <v>2</v>
      </c>
      <c r="D13" s="32">
        <f>COUNTIFS('Test Cases '!$C:$C,'Test Results'!$B13,'Test Cases '!$L:$L,'Test Results'!D$7)</f>
        <v>0</v>
      </c>
      <c r="E13" s="32">
        <f>COUNTIFS('Test Cases '!$C:$C,'Test Results'!$B13,'Test Cases '!$L:$L,'Test Results'!E$7)</f>
        <v>0</v>
      </c>
      <c r="F13" s="32">
        <f>COUNTIFS('Test Cases '!$C:$C,'Test Results'!$B13,'Test Cases '!$L:$L,'Test Results'!F$7)</f>
        <v>0</v>
      </c>
      <c r="G13" s="32">
        <f>COUNTIFS('Test Cases '!$C:$C,'Test Results'!$B13,'Test Cases '!$L:$L,'Test Results'!G$7)</f>
        <v>0</v>
      </c>
      <c r="H13" s="32">
        <f>COUNTIFS('Test Cases '!$C:$C,'Test Results'!$B13,'Test Cases '!$L:$L,'Test Results'!H$7)</f>
        <v>0</v>
      </c>
      <c r="I13" s="32">
        <f t="shared" si="0"/>
        <v>2</v>
      </c>
      <c r="J13" s="33">
        <f t="shared" si="1"/>
        <v>0</v>
      </c>
      <c r="K13" s="33">
        <f t="shared" si="2"/>
        <v>0</v>
      </c>
      <c r="L13" s="33">
        <f t="shared" si="3"/>
        <v>0</v>
      </c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spans="1:26" ht="11.25" customHeight="1">
      <c r="A14" s="22"/>
      <c r="B14" s="31" t="s">
        <v>167</v>
      </c>
      <c r="C14" s="32">
        <f>COUNTIFS('Test Cases '!$C:$C,'Test Results'!$B14,'Test Cases '!$L:$L,'Test Results'!C$7)</f>
        <v>0</v>
      </c>
      <c r="D14" s="32">
        <f>COUNTIFS('Test Cases '!$C:$C,'Test Results'!$B14,'Test Cases '!$L:$L,'Test Results'!D$7)</f>
        <v>0</v>
      </c>
      <c r="E14" s="32">
        <f>COUNTIFS('Test Cases '!$C:$C,'Test Results'!$B14,'Test Cases '!$L:$L,'Test Results'!E$7)</f>
        <v>0</v>
      </c>
      <c r="F14" s="32">
        <f>COUNTIFS('Test Cases '!$C:$C,'Test Results'!$B14,'Test Cases '!$L:$L,'Test Results'!F$7)</f>
        <v>0</v>
      </c>
      <c r="G14" s="32">
        <f>COUNTIFS('Test Cases '!$C:$C,'Test Results'!$B14,'Test Cases '!$L:$L,'Test Results'!G$7)</f>
        <v>0</v>
      </c>
      <c r="H14" s="32">
        <f>COUNTIFS('Test Cases '!$C:$C,'Test Results'!$B14,'Test Cases '!$L:$L,'Test Results'!H$7)</f>
        <v>0</v>
      </c>
      <c r="I14" s="32">
        <f t="shared" si="0"/>
        <v>0</v>
      </c>
      <c r="J14" s="33">
        <f t="shared" si="1"/>
        <v>0</v>
      </c>
      <c r="K14" s="33">
        <f t="shared" si="2"/>
        <v>0</v>
      </c>
      <c r="L14" s="33">
        <f t="shared" si="3"/>
        <v>0</v>
      </c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spans="1:26" ht="11.25" customHeight="1">
      <c r="A15" s="22"/>
      <c r="B15" s="31" t="s">
        <v>168</v>
      </c>
      <c r="C15" s="32">
        <f>COUNTIFS('Test Cases '!$C:$C,'Test Results'!$B15,'Test Cases '!$L:$L,'Test Results'!C$7)</f>
        <v>0</v>
      </c>
      <c r="D15" s="32">
        <f>COUNTIFS('Test Cases '!$C:$C,'Test Results'!$B15,'Test Cases '!$L:$L,'Test Results'!D$7)</f>
        <v>0</v>
      </c>
      <c r="E15" s="32">
        <f>COUNTIFS('Test Cases '!$C:$C,'Test Results'!$B15,'Test Cases '!$L:$L,'Test Results'!E$7)</f>
        <v>0</v>
      </c>
      <c r="F15" s="32">
        <f>COUNTIFS('Test Cases '!$C:$C,'Test Results'!$B15,'Test Cases '!$L:$L,'Test Results'!F$7)</f>
        <v>0</v>
      </c>
      <c r="G15" s="32">
        <f>COUNTIFS('Test Cases '!$C:$C,'Test Results'!$B15,'Test Cases '!$L:$L,'Test Results'!G$7)</f>
        <v>0</v>
      </c>
      <c r="H15" s="32">
        <f>COUNTIFS('Test Cases '!$C:$C,'Test Results'!$B15,'Test Cases '!$L:$L,'Test Results'!H$7)</f>
        <v>0</v>
      </c>
      <c r="I15" s="32">
        <f t="shared" si="0"/>
        <v>0</v>
      </c>
      <c r="J15" s="33">
        <f t="shared" si="1"/>
        <v>0</v>
      </c>
      <c r="K15" s="33">
        <f t="shared" si="2"/>
        <v>0</v>
      </c>
      <c r="L15" s="33">
        <f t="shared" si="3"/>
        <v>0</v>
      </c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spans="1:26" ht="11.25" customHeight="1">
      <c r="A16" s="22"/>
      <c r="B16" s="31" t="s">
        <v>169</v>
      </c>
      <c r="C16" s="32">
        <f>COUNTIFS('Test Cases '!$C:$C,'Test Results'!$B16,'Test Cases '!$L:$L,'Test Results'!C$7)</f>
        <v>0</v>
      </c>
      <c r="D16" s="32">
        <f>COUNTIFS('Test Cases '!$C:$C,'Test Results'!$B16,'Test Cases '!$L:$L,'Test Results'!D$7)</f>
        <v>0</v>
      </c>
      <c r="E16" s="32">
        <f>COUNTIFS('Test Cases '!$C:$C,'Test Results'!$B16,'Test Cases '!$L:$L,'Test Results'!E$7)</f>
        <v>0</v>
      </c>
      <c r="F16" s="32">
        <f>COUNTIFS('Test Cases '!$C:$C,'Test Results'!$B16,'Test Cases '!$L:$L,'Test Results'!F$7)</f>
        <v>0</v>
      </c>
      <c r="G16" s="32">
        <f>COUNTIFS('Test Cases '!$C:$C,'Test Results'!$B16,'Test Cases '!$L:$L,'Test Results'!G$7)</f>
        <v>0</v>
      </c>
      <c r="H16" s="32">
        <f>COUNTIFS('Test Cases '!$C:$C,'Test Results'!$B16,'Test Cases '!$L:$L,'Test Results'!H$7)</f>
        <v>0</v>
      </c>
      <c r="I16" s="32">
        <f t="shared" si="0"/>
        <v>0</v>
      </c>
      <c r="J16" s="33">
        <f t="shared" si="1"/>
        <v>0</v>
      </c>
      <c r="K16" s="33">
        <f t="shared" si="2"/>
        <v>0</v>
      </c>
      <c r="L16" s="33">
        <f t="shared" si="3"/>
        <v>0</v>
      </c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spans="1:26" ht="11.25" customHeight="1">
      <c r="A17" s="22"/>
      <c r="B17" s="34"/>
      <c r="C17" s="35">
        <f t="shared" ref="C17:I17" si="4">SUM(C8:C16)</f>
        <v>32</v>
      </c>
      <c r="D17" s="35">
        <f t="shared" si="4"/>
        <v>0</v>
      </c>
      <c r="E17" s="35">
        <f t="shared" si="4"/>
        <v>0</v>
      </c>
      <c r="F17" s="35">
        <f t="shared" si="4"/>
        <v>0</v>
      </c>
      <c r="G17" s="35">
        <f t="shared" si="4"/>
        <v>0</v>
      </c>
      <c r="H17" s="35">
        <f t="shared" si="4"/>
        <v>0</v>
      </c>
      <c r="I17" s="35">
        <f t="shared" si="4"/>
        <v>32</v>
      </c>
      <c r="J17" s="36">
        <f t="shared" si="1"/>
        <v>0</v>
      </c>
      <c r="K17" s="36">
        <f t="shared" si="2"/>
        <v>0</v>
      </c>
      <c r="L17" s="36">
        <f t="shared" si="3"/>
        <v>0</v>
      </c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spans="1:26" ht="11.25" customHeight="1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spans="1:26" ht="11.25" hidden="1" customHeight="1">
      <c r="A19" s="37"/>
      <c r="B19" s="38" t="s">
        <v>170</v>
      </c>
      <c r="C19" s="39" t="s">
        <v>26</v>
      </c>
      <c r="D19" s="40" t="s">
        <v>155</v>
      </c>
      <c r="E19" s="41" t="s">
        <v>156</v>
      </c>
      <c r="F19" s="42" t="s">
        <v>157</v>
      </c>
      <c r="G19" s="38" t="s">
        <v>158</v>
      </c>
      <c r="H19" s="43" t="s">
        <v>159</v>
      </c>
      <c r="I19" s="38" t="s">
        <v>160</v>
      </c>
      <c r="J19" s="38" t="s">
        <v>161</v>
      </c>
      <c r="K19" s="40" t="s">
        <v>162</v>
      </c>
      <c r="L19" s="41" t="s">
        <v>163</v>
      </c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spans="1:26" ht="11.25" hidden="1" customHeight="1">
      <c r="A20" s="37"/>
      <c r="B20" s="44" t="s">
        <v>171</v>
      </c>
      <c r="C20" s="45">
        <f>COUNTIFS('Test Cases '!$B:$B,'Test Results'!$B20,'Test Cases '!$L:$L,'Test Results'!C$7)</f>
        <v>0</v>
      </c>
      <c r="D20" s="45">
        <f>COUNTIFS('Test Cases '!$B:$B,'Test Results'!$B20,'Test Cases '!$L:$L,'Test Results'!D$7)</f>
        <v>0</v>
      </c>
      <c r="E20" s="45">
        <f>COUNTIFS('Test Cases '!$B:$B,'Test Results'!$B20,'Test Cases '!$L:$L,'Test Results'!E$7)</f>
        <v>0</v>
      </c>
      <c r="F20" s="45">
        <f>COUNTIFS('Test Cases '!$B:$B,'Test Results'!$B20,'Test Cases '!$L:$L,'Test Results'!F$7)</f>
        <v>0</v>
      </c>
      <c r="G20" s="45">
        <f>COUNTIFS('Test Cases '!$B:$B,'Test Results'!$B20,'Test Cases '!$L:$L,'Test Results'!G$7)</f>
        <v>0</v>
      </c>
      <c r="H20" s="45">
        <f>COUNTIFS('Test Cases '!$B:$B,'Test Results'!$B20,'Test Cases '!$L:$L,'Test Results'!H$7)</f>
        <v>0</v>
      </c>
      <c r="I20" s="45">
        <f t="shared" ref="I20:I27" si="5">SUM(C20:H20)</f>
        <v>0</v>
      </c>
      <c r="J20" s="46">
        <f t="shared" ref="J20:J28" si="6">IFERROR(($D20+$E20)/($I20-$H20-$G20),0)</f>
        <v>0</v>
      </c>
      <c r="K20" s="46">
        <f t="shared" ref="K20:K28" si="7">IFERROR($D20/($I20-$H20-$G20),0)</f>
        <v>0</v>
      </c>
      <c r="L20" s="46">
        <f t="shared" ref="L20:L28" si="8">IFERROR($E20/($I20-$H20-$G20),0)</f>
        <v>0</v>
      </c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 spans="1:26" ht="11.25" hidden="1" customHeight="1">
      <c r="A21" s="37"/>
      <c r="B21" s="44" t="s">
        <v>172</v>
      </c>
      <c r="C21" s="45">
        <f>COUNTIFS('Test Cases '!$B:$B,'Test Results'!$B21,'Test Cases '!$L:$L,'Test Results'!C$7)</f>
        <v>0</v>
      </c>
      <c r="D21" s="45">
        <f>COUNTIFS('Test Cases '!$B:$B,'Test Results'!$B21,'Test Cases '!$L:$L,'Test Results'!D$7)</f>
        <v>0</v>
      </c>
      <c r="E21" s="45">
        <f>COUNTIFS('Test Cases '!$B:$B,'Test Results'!$B21,'Test Cases '!$L:$L,'Test Results'!E$7)</f>
        <v>0</v>
      </c>
      <c r="F21" s="45">
        <f>COUNTIFS('Test Cases '!$B:$B,'Test Results'!$B21,'Test Cases '!$L:$L,'Test Results'!F$7)</f>
        <v>0</v>
      </c>
      <c r="G21" s="45">
        <f>COUNTIFS('Test Cases '!$B:$B,'Test Results'!$B21,'Test Cases '!$L:$L,'Test Results'!G$7)</f>
        <v>0</v>
      </c>
      <c r="H21" s="45">
        <f>COUNTIFS('Test Cases '!$B:$B,'Test Results'!$B21,'Test Cases '!$L:$L,'Test Results'!H$7)</f>
        <v>0</v>
      </c>
      <c r="I21" s="45">
        <f t="shared" si="5"/>
        <v>0</v>
      </c>
      <c r="J21" s="46">
        <f t="shared" si="6"/>
        <v>0</v>
      </c>
      <c r="K21" s="46">
        <f t="shared" si="7"/>
        <v>0</v>
      </c>
      <c r="L21" s="46">
        <f t="shared" si="8"/>
        <v>0</v>
      </c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 spans="1:26" ht="11.25" hidden="1" customHeight="1">
      <c r="A22" s="37"/>
      <c r="B22" s="44" t="s">
        <v>173</v>
      </c>
      <c r="C22" s="45">
        <f>COUNTIFS('Test Cases '!$B:$B,'Test Results'!$B22,'Test Cases '!$L:$L,'Test Results'!C$7)</f>
        <v>0</v>
      </c>
      <c r="D22" s="45">
        <f>COUNTIFS('Test Cases '!$B:$B,'Test Results'!$B22,'Test Cases '!$L:$L,'Test Results'!D$7)</f>
        <v>0</v>
      </c>
      <c r="E22" s="45">
        <f>COUNTIFS('Test Cases '!$B:$B,'Test Results'!$B22,'Test Cases '!$L:$L,'Test Results'!E$7)</f>
        <v>0</v>
      </c>
      <c r="F22" s="45">
        <f>COUNTIFS('Test Cases '!$B:$B,'Test Results'!$B22,'Test Cases '!$L:$L,'Test Results'!F$7)</f>
        <v>0</v>
      </c>
      <c r="G22" s="45">
        <f>COUNTIFS('Test Cases '!$B:$B,'Test Results'!$B22,'Test Cases '!$L:$L,'Test Results'!G$7)</f>
        <v>0</v>
      </c>
      <c r="H22" s="45">
        <f>COUNTIFS('Test Cases '!$B:$B,'Test Results'!$B22,'Test Cases '!$L:$L,'Test Results'!H$7)</f>
        <v>0</v>
      </c>
      <c r="I22" s="45">
        <f t="shared" si="5"/>
        <v>0</v>
      </c>
      <c r="J22" s="46">
        <f t="shared" si="6"/>
        <v>0</v>
      </c>
      <c r="K22" s="46">
        <f t="shared" si="7"/>
        <v>0</v>
      </c>
      <c r="L22" s="46">
        <f t="shared" si="8"/>
        <v>0</v>
      </c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 spans="1:26" ht="11.25" hidden="1" customHeight="1">
      <c r="A23" s="37"/>
      <c r="B23" s="44" t="s">
        <v>174</v>
      </c>
      <c r="C23" s="45">
        <f>COUNTIFS('Test Cases '!$B:$B,'Test Results'!$B23,'Test Cases '!$L:$L,'Test Results'!C$7)</f>
        <v>0</v>
      </c>
      <c r="D23" s="45">
        <f>COUNTIFS('Test Cases '!$B:$B,'Test Results'!$B23,'Test Cases '!$L:$L,'Test Results'!D$7)</f>
        <v>0</v>
      </c>
      <c r="E23" s="45">
        <f>COUNTIFS('Test Cases '!$B:$B,'Test Results'!$B23,'Test Cases '!$L:$L,'Test Results'!E$7)</f>
        <v>0</v>
      </c>
      <c r="F23" s="45">
        <f>COUNTIFS('Test Cases '!$B:$B,'Test Results'!$B23,'Test Cases '!$L:$L,'Test Results'!F$7)</f>
        <v>0</v>
      </c>
      <c r="G23" s="45">
        <f>COUNTIFS('Test Cases '!$B:$B,'Test Results'!$B23,'Test Cases '!$L:$L,'Test Results'!G$7)</f>
        <v>0</v>
      </c>
      <c r="H23" s="45">
        <f>COUNTIFS('Test Cases '!$B:$B,'Test Results'!$B23,'Test Cases '!$L:$L,'Test Results'!H$7)</f>
        <v>0</v>
      </c>
      <c r="I23" s="45">
        <f t="shared" si="5"/>
        <v>0</v>
      </c>
      <c r="J23" s="46">
        <f t="shared" si="6"/>
        <v>0</v>
      </c>
      <c r="K23" s="46">
        <f t="shared" si="7"/>
        <v>0</v>
      </c>
      <c r="L23" s="46">
        <f t="shared" si="8"/>
        <v>0</v>
      </c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 spans="1:26" ht="11.25" hidden="1" customHeight="1">
      <c r="A24" s="37"/>
      <c r="B24" s="44" t="s">
        <v>175</v>
      </c>
      <c r="C24" s="45">
        <f>COUNTIFS('Test Cases '!$B:$B,'Test Results'!$B24,'Test Cases '!$L:$L,'Test Results'!C$7)</f>
        <v>0</v>
      </c>
      <c r="D24" s="45">
        <f>COUNTIFS('Test Cases '!$B:$B,'Test Results'!$B24,'Test Cases '!$L:$L,'Test Results'!D$7)</f>
        <v>0</v>
      </c>
      <c r="E24" s="45">
        <f>COUNTIFS('Test Cases '!$B:$B,'Test Results'!$B24,'Test Cases '!$L:$L,'Test Results'!E$7)</f>
        <v>0</v>
      </c>
      <c r="F24" s="45">
        <f>COUNTIFS('Test Cases '!$B:$B,'Test Results'!$B24,'Test Cases '!$L:$L,'Test Results'!F$7)</f>
        <v>0</v>
      </c>
      <c r="G24" s="45">
        <f>COUNTIFS('Test Cases '!$B:$B,'Test Results'!$B24,'Test Cases '!$L:$L,'Test Results'!G$7)</f>
        <v>0</v>
      </c>
      <c r="H24" s="45">
        <f>COUNTIFS('Test Cases '!$B:$B,'Test Results'!$B24,'Test Cases '!$L:$L,'Test Results'!H$7)</f>
        <v>0</v>
      </c>
      <c r="I24" s="45">
        <f t="shared" si="5"/>
        <v>0</v>
      </c>
      <c r="J24" s="46">
        <f t="shared" si="6"/>
        <v>0</v>
      </c>
      <c r="K24" s="46">
        <f t="shared" si="7"/>
        <v>0</v>
      </c>
      <c r="L24" s="46">
        <f t="shared" si="8"/>
        <v>0</v>
      </c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 spans="1:26" ht="11.25" hidden="1" customHeight="1">
      <c r="A25" s="37"/>
      <c r="B25" s="44" t="s">
        <v>176</v>
      </c>
      <c r="C25" s="45">
        <f>COUNTIFS('Test Cases '!$B:$B,'Test Results'!$B25,'Test Cases '!$L:$L,'Test Results'!C$7)</f>
        <v>0</v>
      </c>
      <c r="D25" s="45">
        <f>COUNTIFS('Test Cases '!$B:$B,'Test Results'!$B25,'Test Cases '!$L:$L,'Test Results'!D$7)</f>
        <v>0</v>
      </c>
      <c r="E25" s="45">
        <f>COUNTIFS('Test Cases '!$B:$B,'Test Results'!$B25,'Test Cases '!$L:$L,'Test Results'!E$7)</f>
        <v>0</v>
      </c>
      <c r="F25" s="45">
        <f>COUNTIFS('Test Cases '!$B:$B,'Test Results'!$B25,'Test Cases '!$L:$L,'Test Results'!F$7)</f>
        <v>0</v>
      </c>
      <c r="G25" s="45">
        <f>COUNTIFS('Test Cases '!$B:$B,'Test Results'!$B25,'Test Cases '!$L:$L,'Test Results'!G$7)</f>
        <v>0</v>
      </c>
      <c r="H25" s="45">
        <f>COUNTIFS('Test Cases '!$B:$B,'Test Results'!$B25,'Test Cases '!$L:$L,'Test Results'!H$7)</f>
        <v>0</v>
      </c>
      <c r="I25" s="45">
        <f t="shared" si="5"/>
        <v>0</v>
      </c>
      <c r="J25" s="46">
        <f t="shared" si="6"/>
        <v>0</v>
      </c>
      <c r="K25" s="46">
        <f t="shared" si="7"/>
        <v>0</v>
      </c>
      <c r="L25" s="46">
        <f t="shared" si="8"/>
        <v>0</v>
      </c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 spans="1:26" ht="11.25" hidden="1" customHeight="1">
      <c r="A26" s="37"/>
      <c r="B26" s="44" t="s">
        <v>177</v>
      </c>
      <c r="C26" s="45">
        <f>COUNTIFS('Test Cases '!$B:$B,'Test Results'!$B26,'Test Cases '!$L:$L,'Test Results'!C$7)</f>
        <v>0</v>
      </c>
      <c r="D26" s="45">
        <f>COUNTIFS('Test Cases '!$B:$B,'Test Results'!$B26,'Test Cases '!$L:$L,'Test Results'!D$7)</f>
        <v>0</v>
      </c>
      <c r="E26" s="45">
        <f>COUNTIFS('Test Cases '!$B:$B,'Test Results'!$B26,'Test Cases '!$L:$L,'Test Results'!E$7)</f>
        <v>0</v>
      </c>
      <c r="F26" s="45">
        <f>COUNTIFS('Test Cases '!$B:$B,'Test Results'!$B26,'Test Cases '!$L:$L,'Test Results'!F$7)</f>
        <v>0</v>
      </c>
      <c r="G26" s="45">
        <f>COUNTIFS('Test Cases '!$B:$B,'Test Results'!$B26,'Test Cases '!$L:$L,'Test Results'!G$7)</f>
        <v>0</v>
      </c>
      <c r="H26" s="45">
        <f>COUNTIFS('Test Cases '!$B:$B,'Test Results'!$B26,'Test Cases '!$L:$L,'Test Results'!H$7)</f>
        <v>0</v>
      </c>
      <c r="I26" s="45">
        <f t="shared" si="5"/>
        <v>0</v>
      </c>
      <c r="J26" s="46">
        <f t="shared" si="6"/>
        <v>0</v>
      </c>
      <c r="K26" s="46">
        <f t="shared" si="7"/>
        <v>0</v>
      </c>
      <c r="L26" s="46">
        <f t="shared" si="8"/>
        <v>0</v>
      </c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 spans="1:26" ht="11.25" hidden="1" customHeight="1">
      <c r="A27" s="37"/>
      <c r="B27" s="44" t="s">
        <v>178</v>
      </c>
      <c r="C27" s="45">
        <f>COUNTIFS('Test Cases '!$B:$B,'Test Results'!$B27,'Test Cases '!$L:$L,'Test Results'!C$7)</f>
        <v>0</v>
      </c>
      <c r="D27" s="45">
        <f>COUNTIFS('Test Cases '!$B:$B,'Test Results'!$B27,'Test Cases '!$L:$L,'Test Results'!D$7)</f>
        <v>0</v>
      </c>
      <c r="E27" s="45">
        <f>COUNTIFS('Test Cases '!$B:$B,'Test Results'!$B27,'Test Cases '!$L:$L,'Test Results'!E$7)</f>
        <v>0</v>
      </c>
      <c r="F27" s="45">
        <f>COUNTIFS('Test Cases '!$B:$B,'Test Results'!$B27,'Test Cases '!$L:$L,'Test Results'!F$7)</f>
        <v>0</v>
      </c>
      <c r="G27" s="45">
        <f>COUNTIFS('Test Cases '!$B:$B,'Test Results'!$B27,'Test Cases '!$L:$L,'Test Results'!G$7)</f>
        <v>0</v>
      </c>
      <c r="H27" s="45">
        <f>COUNTIFS('Test Cases '!$B:$B,'Test Results'!$B27,'Test Cases '!$L:$L,'Test Results'!H$7)</f>
        <v>0</v>
      </c>
      <c r="I27" s="45">
        <f t="shared" si="5"/>
        <v>0</v>
      </c>
      <c r="J27" s="46">
        <f t="shared" si="6"/>
        <v>0</v>
      </c>
      <c r="K27" s="46">
        <f t="shared" si="7"/>
        <v>0</v>
      </c>
      <c r="L27" s="46">
        <f t="shared" si="8"/>
        <v>0</v>
      </c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 spans="1:26" ht="11.25" hidden="1" customHeight="1">
      <c r="A28" s="37"/>
      <c r="B28" s="47"/>
      <c r="C28" s="48">
        <f t="shared" ref="C28:I28" si="9">SUM(C20:C27)</f>
        <v>0</v>
      </c>
      <c r="D28" s="48">
        <f t="shared" si="9"/>
        <v>0</v>
      </c>
      <c r="E28" s="48">
        <f t="shared" si="9"/>
        <v>0</v>
      </c>
      <c r="F28" s="48">
        <f t="shared" si="9"/>
        <v>0</v>
      </c>
      <c r="G28" s="48">
        <f t="shared" si="9"/>
        <v>0</v>
      </c>
      <c r="H28" s="48">
        <f t="shared" si="9"/>
        <v>0</v>
      </c>
      <c r="I28" s="48">
        <f t="shared" si="9"/>
        <v>0</v>
      </c>
      <c r="J28" s="49">
        <f t="shared" si="6"/>
        <v>0</v>
      </c>
      <c r="K28" s="49">
        <f t="shared" si="7"/>
        <v>0</v>
      </c>
      <c r="L28" s="49">
        <f t="shared" si="8"/>
        <v>0</v>
      </c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 spans="1:26" ht="11.25" hidden="1" customHeight="1">
      <c r="A29" s="37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 spans="1:26" ht="11.25" hidden="1" customHeight="1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 spans="1:26" ht="11.25" customHeight="1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 spans="1:26" ht="11.25" customHeight="1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 spans="1:26" ht="11.25" customHeight="1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 spans="1:26" ht="11.25" customHeight="1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 spans="1:26" ht="11.25" customHeight="1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 spans="1:26" ht="11.25" customHeight="1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 spans="1:26" ht="11.25" customHeight="1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 spans="1:26" ht="11.25" customHeight="1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 spans="1:26" ht="11.25" customHeight="1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 spans="1:26" ht="11.25" customHeight="1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 spans="1:26" ht="11.25" customHeight="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 spans="1:26" ht="11.25" customHeight="1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 spans="1:26" ht="11.25" customHeight="1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 spans="1:26" ht="11.25" customHeight="1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 spans="1:26" ht="11.25" customHeight="1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</row>
    <row r="46" spans="1:26" ht="11.25" customHeight="1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 spans="1:26" ht="11.25" customHeight="1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 spans="1:26" ht="11.25" customHeight="1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 spans="1:26" ht="11.25" customHeight="1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</row>
    <row r="50" spans="1:26" ht="11.25" customHeight="1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 spans="1:26" ht="11.25" customHeight="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 spans="1:26" ht="11.25" customHeight="1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spans="1:26" ht="11.25" customHeight="1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spans="1:26" ht="11.25" customHeight="1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spans="1:26" ht="11.25" customHeight="1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spans="1:26" ht="11.25" customHeight="1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spans="1:26" ht="11.25" customHeight="1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spans="1:26" ht="11.25" customHeight="1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spans="1:26" ht="11.25" customHeight="1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spans="1:26" ht="11.25" customHeight="1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spans="1:26" ht="11.25" customHeight="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spans="1:26" ht="11.25" customHeight="1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spans="1:26" ht="11.25" customHeight="1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spans="1:26" ht="11.25" customHeight="1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spans="1:26" ht="11.25" customHeight="1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spans="1:26" ht="11.25" customHeight="1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spans="1:26" ht="11.25" customHeight="1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spans="1:26" ht="11.25" customHeight="1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spans="1:26" ht="11.25" customHeight="1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spans="1:26" ht="11.25" customHeight="1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spans="1:26" ht="11.25" customHeight="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spans="1:26" ht="11.25" customHeight="1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spans="1:26" ht="11.25" customHeight="1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spans="1:26" ht="11.25" customHeight="1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spans="1:26" ht="11.25" customHeight="1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spans="1:26" ht="11.25" customHeight="1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spans="1:26" ht="11.25" customHeight="1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spans="1:26" ht="11.25" customHeight="1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spans="1:26" ht="11.25" customHeight="1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spans="1:26" ht="11.25" customHeight="1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spans="1:26" ht="11.25" customHeight="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spans="1:26" ht="11.25" customHeight="1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spans="1:26" ht="11.25" customHeight="1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spans="1:26" ht="11.25" customHeight="1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spans="1:26" ht="11.25" customHeight="1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spans="1:26" ht="11.25" customHeight="1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spans="1:26" ht="11.25" customHeight="1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spans="1:26" ht="11.25" customHeight="1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 spans="1:26" ht="11.25" customHeight="1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 spans="1:26" ht="11.25" customHeight="1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 spans="1:26" ht="11.25" customHeight="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 spans="1:26" ht="11.25" customHeight="1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 spans="1:26" ht="11.25" customHeight="1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 spans="1:26" ht="11.25" customHeight="1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 spans="1:26" ht="11.25" customHeight="1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 spans="1:26" ht="11.25" customHeight="1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 spans="1:26" ht="11.25" customHeight="1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 spans="1:26" ht="11.25" customHeight="1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 spans="1:26" ht="11.25" customHeight="1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 spans="1:26" ht="11.25" customHeight="1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 spans="1:26" ht="11.25" customHeight="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 spans="1:26" ht="11.25" customHeight="1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 spans="1:26" ht="11.25" customHeight="1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 spans="1:26" ht="11.25" customHeight="1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 spans="1:26" ht="11.25" customHeight="1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 spans="1:26" ht="11.25" customHeight="1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 spans="1:26" ht="11.25" customHeight="1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 spans="1:26" ht="11.25" customHeight="1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 spans="1:26" ht="11.25" customHeight="1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 spans="1:26" ht="11.25" customHeight="1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 spans="1:26" ht="11.25" customHeight="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 spans="1:26" ht="11.25" customHeight="1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 spans="1:26" ht="11.25" customHeight="1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 spans="1:26" ht="11.25" customHeight="1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 spans="1:26" ht="11.25" customHeight="1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 spans="1:26" ht="11.25" customHeight="1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 spans="1:26" ht="11.25" customHeight="1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 spans="1:26" ht="11.25" customHeight="1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 spans="1:26" ht="11.25" customHeight="1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 spans="1:26" ht="11.25" customHeight="1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 spans="1:26" ht="11.25" customHeight="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 spans="1:26" ht="11.25" customHeight="1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 spans="1:26" ht="11.25" customHeight="1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 spans="1:26" ht="11.25" customHeight="1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 spans="1:26" ht="11.25" customHeight="1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 spans="1:26" ht="11.25" customHeight="1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 spans="1:26" ht="11.25" customHeight="1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 spans="1:26" ht="11.25" customHeight="1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 spans="1:26" ht="11.25" customHeight="1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 spans="1:26" ht="11.25" customHeight="1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 spans="1:26" ht="11.25" customHeight="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 spans="1:26" ht="11.25" customHeight="1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 spans="1:26" ht="11.25" customHeight="1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 spans="1:26" ht="11.25" customHeight="1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 spans="1:26" ht="11.25" customHeight="1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 spans="1:26" ht="11.25" customHeight="1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 spans="1:26" ht="11.25" customHeight="1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 spans="1:26" ht="11.25" customHeight="1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 spans="1:26" ht="11.25" customHeight="1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 spans="1:26" ht="11.25" customHeight="1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 spans="1:26" ht="11.25" customHeight="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 spans="1:26" ht="11.25" customHeight="1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 spans="1:26" ht="11.25" customHeight="1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 spans="1:26" ht="11.25" customHeight="1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 spans="1:26" ht="11.25" customHeight="1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 spans="1:26" ht="11.25" customHeight="1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 spans="1:26" ht="11.25" customHeight="1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 spans="1:26" ht="11.25" customHeight="1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 spans="1:26" ht="11.25" customHeight="1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 spans="1:26" ht="11.25" customHeight="1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 spans="1:26" ht="11.25" customHeight="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 spans="1:26" ht="11.25" customHeight="1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 spans="1:26" ht="11.25" customHeight="1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 spans="1:26" ht="11.25" customHeight="1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 spans="1:26" ht="11.25" customHeight="1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 spans="1:26" ht="11.25" customHeight="1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 spans="1:26" ht="11.25" customHeight="1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 spans="1:26" ht="11.25" customHeight="1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 spans="1:26" ht="11.25" customHeight="1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 spans="1:26" ht="11.25" customHeight="1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 spans="1:26" ht="11.25" customHeight="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50"/>
      <c r="W161" s="50"/>
      <c r="X161" s="50"/>
      <c r="Y161" s="50"/>
      <c r="Z161" s="50"/>
    </row>
    <row r="162" spans="1:26" ht="11.25" customHeight="1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50"/>
      <c r="W162" s="50"/>
      <c r="X162" s="50"/>
      <c r="Y162" s="50"/>
      <c r="Z162" s="50"/>
    </row>
    <row r="163" spans="1:26" ht="11.25" customHeight="1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50"/>
      <c r="W163" s="50"/>
      <c r="X163" s="50"/>
      <c r="Y163" s="50"/>
      <c r="Z163" s="50"/>
    </row>
    <row r="164" spans="1:26" ht="11.25" customHeight="1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50"/>
      <c r="W164" s="50"/>
      <c r="X164" s="50"/>
      <c r="Y164" s="50"/>
      <c r="Z164" s="50"/>
    </row>
    <row r="165" spans="1:26" ht="11.25" customHeight="1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50"/>
      <c r="W165" s="50"/>
      <c r="X165" s="50"/>
      <c r="Y165" s="50"/>
      <c r="Z165" s="50"/>
    </row>
    <row r="166" spans="1:26" ht="11.25" customHeight="1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50"/>
      <c r="W166" s="50"/>
      <c r="X166" s="50"/>
      <c r="Y166" s="50"/>
      <c r="Z166" s="50"/>
    </row>
    <row r="167" spans="1:26" ht="11.25" customHeight="1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50"/>
      <c r="W167" s="50"/>
      <c r="X167" s="50"/>
      <c r="Y167" s="50"/>
      <c r="Z167" s="50"/>
    </row>
    <row r="168" spans="1:26" ht="11.25" customHeight="1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50"/>
      <c r="W168" s="50"/>
      <c r="X168" s="50"/>
      <c r="Y168" s="50"/>
      <c r="Z168" s="50"/>
    </row>
    <row r="169" spans="1:26" ht="11.25" customHeight="1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50"/>
      <c r="W169" s="50"/>
      <c r="X169" s="50"/>
      <c r="Y169" s="50"/>
      <c r="Z169" s="50"/>
    </row>
    <row r="170" spans="1:26" ht="11.25" customHeight="1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50"/>
      <c r="W170" s="50"/>
      <c r="X170" s="50"/>
      <c r="Y170" s="50"/>
      <c r="Z170" s="50"/>
    </row>
    <row r="171" spans="1:26" ht="11.25" customHeight="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50"/>
      <c r="W171" s="50"/>
      <c r="X171" s="50"/>
      <c r="Y171" s="50"/>
      <c r="Z171" s="50"/>
    </row>
    <row r="172" spans="1:26" ht="11.25" customHeight="1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50"/>
      <c r="W172" s="50"/>
      <c r="X172" s="50"/>
      <c r="Y172" s="50"/>
      <c r="Z172" s="50"/>
    </row>
    <row r="173" spans="1:26" ht="11.25" customHeight="1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50"/>
      <c r="W173" s="50"/>
      <c r="X173" s="50"/>
      <c r="Y173" s="50"/>
      <c r="Z173" s="50"/>
    </row>
    <row r="174" spans="1:26" ht="11.25" customHeight="1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50"/>
      <c r="W174" s="50"/>
      <c r="X174" s="50"/>
      <c r="Y174" s="50"/>
      <c r="Z174" s="50"/>
    </row>
    <row r="175" spans="1:26" ht="11.25" customHeight="1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50"/>
      <c r="W175" s="50"/>
      <c r="X175" s="50"/>
      <c r="Y175" s="50"/>
      <c r="Z175" s="50"/>
    </row>
    <row r="176" spans="1:26" ht="11.25" customHeight="1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50"/>
      <c r="W176" s="50"/>
      <c r="X176" s="50"/>
      <c r="Y176" s="50"/>
      <c r="Z176" s="50"/>
    </row>
    <row r="177" spans="1:26" ht="11.25" customHeight="1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50"/>
      <c r="W177" s="50"/>
      <c r="X177" s="50"/>
      <c r="Y177" s="50"/>
      <c r="Z177" s="50"/>
    </row>
    <row r="178" spans="1:26" ht="11.25" customHeight="1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50"/>
      <c r="W178" s="50"/>
      <c r="X178" s="50"/>
      <c r="Y178" s="50"/>
      <c r="Z178" s="50"/>
    </row>
    <row r="179" spans="1:26" ht="11.25" customHeight="1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50"/>
      <c r="W179" s="50"/>
      <c r="X179" s="50"/>
      <c r="Y179" s="50"/>
      <c r="Z179" s="50"/>
    </row>
    <row r="180" spans="1:26" ht="11.25" customHeight="1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50"/>
      <c r="W180" s="50"/>
      <c r="X180" s="50"/>
      <c r="Y180" s="50"/>
      <c r="Z180" s="50"/>
    </row>
    <row r="181" spans="1:26" ht="11.25" customHeight="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50"/>
      <c r="W181" s="50"/>
      <c r="X181" s="50"/>
      <c r="Y181" s="50"/>
      <c r="Z181" s="50"/>
    </row>
    <row r="182" spans="1:26" ht="11.25" customHeight="1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50"/>
      <c r="W182" s="50"/>
      <c r="X182" s="50"/>
      <c r="Y182" s="50"/>
      <c r="Z182" s="50"/>
    </row>
    <row r="183" spans="1:26" ht="11.25" customHeight="1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50"/>
      <c r="W183" s="50"/>
      <c r="X183" s="50"/>
      <c r="Y183" s="50"/>
      <c r="Z183" s="50"/>
    </row>
    <row r="184" spans="1:26" ht="11.25" customHeight="1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50"/>
      <c r="W184" s="50"/>
      <c r="X184" s="50"/>
      <c r="Y184" s="50"/>
      <c r="Z184" s="50"/>
    </row>
    <row r="185" spans="1:26" ht="11.25" customHeight="1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50"/>
      <c r="W185" s="50"/>
      <c r="X185" s="50"/>
      <c r="Y185" s="50"/>
      <c r="Z185" s="50"/>
    </row>
    <row r="186" spans="1:26" ht="11.25" customHeight="1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50"/>
      <c r="W186" s="50"/>
      <c r="X186" s="50"/>
      <c r="Y186" s="50"/>
      <c r="Z186" s="50"/>
    </row>
    <row r="187" spans="1:26" ht="11.25" customHeight="1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50"/>
      <c r="W187" s="50"/>
      <c r="X187" s="50"/>
      <c r="Y187" s="50"/>
      <c r="Z187" s="50"/>
    </row>
    <row r="188" spans="1:26" ht="11.25" customHeight="1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50"/>
      <c r="W188" s="50"/>
      <c r="X188" s="50"/>
      <c r="Y188" s="50"/>
      <c r="Z188" s="50"/>
    </row>
    <row r="189" spans="1:26" ht="11.25" customHeight="1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50"/>
      <c r="W189" s="50"/>
      <c r="X189" s="50"/>
      <c r="Y189" s="50"/>
      <c r="Z189" s="50"/>
    </row>
    <row r="190" spans="1:26" ht="11.25" customHeight="1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50"/>
      <c r="W190" s="50"/>
      <c r="X190" s="50"/>
      <c r="Y190" s="50"/>
      <c r="Z190" s="50"/>
    </row>
    <row r="191" spans="1:26" ht="11.25" customHeight="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50"/>
      <c r="W191" s="50"/>
      <c r="X191" s="50"/>
      <c r="Y191" s="50"/>
      <c r="Z191" s="50"/>
    </row>
    <row r="192" spans="1:26" ht="11.25" customHeight="1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50"/>
      <c r="W192" s="50"/>
      <c r="X192" s="50"/>
      <c r="Y192" s="50"/>
      <c r="Z192" s="50"/>
    </row>
    <row r="193" spans="1:26" ht="11.25" customHeight="1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50"/>
      <c r="W193" s="50"/>
      <c r="X193" s="50"/>
      <c r="Y193" s="50"/>
      <c r="Z193" s="50"/>
    </row>
    <row r="194" spans="1:26" ht="11.25" customHeight="1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50"/>
      <c r="W194" s="50"/>
      <c r="X194" s="50"/>
      <c r="Y194" s="50"/>
      <c r="Z194" s="50"/>
    </row>
    <row r="195" spans="1:26" ht="11.25" customHeight="1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50"/>
      <c r="W195" s="50"/>
      <c r="X195" s="50"/>
      <c r="Y195" s="50"/>
      <c r="Z195" s="50"/>
    </row>
    <row r="196" spans="1:26" ht="11.25" customHeight="1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50"/>
      <c r="W196" s="50"/>
      <c r="X196" s="50"/>
      <c r="Y196" s="50"/>
      <c r="Z196" s="50"/>
    </row>
    <row r="197" spans="1:26" ht="11.25" customHeight="1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50"/>
      <c r="W197" s="50"/>
      <c r="X197" s="50"/>
      <c r="Y197" s="50"/>
      <c r="Z197" s="50"/>
    </row>
    <row r="198" spans="1:26" ht="11.25" customHeight="1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50"/>
      <c r="W198" s="50"/>
      <c r="X198" s="50"/>
      <c r="Y198" s="50"/>
      <c r="Z198" s="50"/>
    </row>
    <row r="199" spans="1:26" ht="11.25" customHeight="1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50"/>
      <c r="W199" s="50"/>
      <c r="X199" s="50"/>
      <c r="Y199" s="50"/>
      <c r="Z199" s="50"/>
    </row>
    <row r="200" spans="1:26" ht="11.25" customHeight="1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50"/>
      <c r="W200" s="50"/>
      <c r="X200" s="50"/>
      <c r="Y200" s="50"/>
      <c r="Z200" s="50"/>
    </row>
    <row r="201" spans="1:26" ht="11.25" customHeight="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50"/>
      <c r="W201" s="50"/>
      <c r="X201" s="50"/>
      <c r="Y201" s="50"/>
      <c r="Z201" s="50"/>
    </row>
    <row r="202" spans="1:26" ht="11.25" customHeight="1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50"/>
      <c r="W202" s="50"/>
      <c r="X202" s="50"/>
      <c r="Y202" s="50"/>
      <c r="Z202" s="50"/>
    </row>
    <row r="203" spans="1:26" ht="11.25" customHeight="1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50"/>
      <c r="W203" s="50"/>
      <c r="X203" s="50"/>
      <c r="Y203" s="50"/>
      <c r="Z203" s="50"/>
    </row>
    <row r="204" spans="1:26" ht="11.25" customHeight="1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50"/>
      <c r="W204" s="50"/>
      <c r="X204" s="50"/>
      <c r="Y204" s="50"/>
      <c r="Z204" s="50"/>
    </row>
    <row r="205" spans="1:26" ht="11.25" customHeight="1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50"/>
      <c r="W205" s="50"/>
      <c r="X205" s="50"/>
      <c r="Y205" s="50"/>
      <c r="Z205" s="50"/>
    </row>
    <row r="206" spans="1:26" ht="11.25" customHeight="1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50"/>
      <c r="W206" s="50"/>
      <c r="X206" s="50"/>
      <c r="Y206" s="50"/>
      <c r="Z206" s="50"/>
    </row>
    <row r="207" spans="1:26" ht="11.25" customHeight="1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50"/>
      <c r="W207" s="50"/>
      <c r="X207" s="50"/>
      <c r="Y207" s="50"/>
      <c r="Z207" s="50"/>
    </row>
    <row r="208" spans="1:26" ht="11.25" customHeight="1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50"/>
      <c r="W208" s="50"/>
      <c r="X208" s="50"/>
      <c r="Y208" s="50"/>
      <c r="Z208" s="50"/>
    </row>
    <row r="209" spans="1:26" ht="11.25" customHeight="1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50"/>
      <c r="W209" s="50"/>
      <c r="X209" s="50"/>
      <c r="Y209" s="50"/>
      <c r="Z209" s="50"/>
    </row>
    <row r="210" spans="1:26" ht="11.25" customHeight="1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50"/>
      <c r="W210" s="50"/>
      <c r="X210" s="50"/>
      <c r="Y210" s="50"/>
      <c r="Z210" s="50"/>
    </row>
    <row r="211" spans="1:26" ht="11.25" customHeight="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50"/>
      <c r="W211" s="50"/>
      <c r="X211" s="50"/>
      <c r="Y211" s="50"/>
      <c r="Z211" s="50"/>
    </row>
    <row r="212" spans="1:26" ht="11.25" customHeight="1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50"/>
      <c r="W212" s="50"/>
      <c r="X212" s="50"/>
      <c r="Y212" s="50"/>
      <c r="Z212" s="50"/>
    </row>
    <row r="213" spans="1:26" ht="11.25" customHeight="1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50"/>
      <c r="W213" s="50"/>
      <c r="X213" s="50"/>
      <c r="Y213" s="50"/>
      <c r="Z213" s="50"/>
    </row>
    <row r="214" spans="1:26" ht="11.25" customHeight="1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50"/>
      <c r="W214" s="50"/>
      <c r="X214" s="50"/>
      <c r="Y214" s="50"/>
      <c r="Z214" s="50"/>
    </row>
    <row r="215" spans="1:26" ht="11.25" customHeight="1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50"/>
      <c r="W215" s="50"/>
      <c r="X215" s="50"/>
      <c r="Y215" s="50"/>
      <c r="Z215" s="50"/>
    </row>
    <row r="216" spans="1:26" ht="11.25" customHeight="1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50"/>
      <c r="W216" s="50"/>
      <c r="X216" s="50"/>
      <c r="Y216" s="50"/>
      <c r="Z216" s="50"/>
    </row>
    <row r="217" spans="1:26" ht="11.25" customHeight="1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50"/>
      <c r="W217" s="50"/>
      <c r="X217" s="50"/>
      <c r="Y217" s="50"/>
      <c r="Z217" s="50"/>
    </row>
    <row r="218" spans="1:26" ht="11.25" customHeight="1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50"/>
      <c r="W218" s="50"/>
      <c r="X218" s="50"/>
      <c r="Y218" s="50"/>
      <c r="Z218" s="50"/>
    </row>
    <row r="219" spans="1:26" ht="11.25" customHeight="1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50"/>
      <c r="W219" s="50"/>
      <c r="X219" s="50"/>
      <c r="Y219" s="50"/>
      <c r="Z219" s="50"/>
    </row>
    <row r="220" spans="1:26" ht="11.25" customHeight="1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50"/>
      <c r="W220" s="50"/>
      <c r="X220" s="50"/>
      <c r="Y220" s="50"/>
      <c r="Z220" s="50"/>
    </row>
    <row r="221" spans="1:26" ht="11.25" customHeight="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50"/>
      <c r="W221" s="50"/>
      <c r="X221" s="50"/>
      <c r="Y221" s="50"/>
      <c r="Z221" s="50"/>
    </row>
    <row r="222" spans="1:26" ht="11.25" customHeight="1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50"/>
      <c r="W222" s="50"/>
      <c r="X222" s="50"/>
      <c r="Y222" s="50"/>
      <c r="Z222" s="50"/>
    </row>
    <row r="223" spans="1:26" ht="11.25" customHeight="1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50"/>
      <c r="W223" s="50"/>
      <c r="X223" s="50"/>
      <c r="Y223" s="50"/>
      <c r="Z223" s="50"/>
    </row>
    <row r="224" spans="1:26" ht="11.25" customHeight="1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50"/>
      <c r="W224" s="50"/>
      <c r="X224" s="50"/>
      <c r="Y224" s="50"/>
      <c r="Z224" s="50"/>
    </row>
    <row r="225" spans="1:26" ht="11.25" customHeight="1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50"/>
      <c r="W225" s="50"/>
      <c r="X225" s="50"/>
      <c r="Y225" s="50"/>
      <c r="Z225" s="50"/>
    </row>
    <row r="226" spans="1:26" ht="11.25" customHeight="1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50"/>
      <c r="W226" s="50"/>
      <c r="X226" s="50"/>
      <c r="Y226" s="50"/>
      <c r="Z226" s="50"/>
    </row>
    <row r="227" spans="1:26" ht="11.25" customHeight="1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50"/>
      <c r="W227" s="50"/>
      <c r="X227" s="50"/>
      <c r="Y227" s="50"/>
      <c r="Z227" s="50"/>
    </row>
    <row r="228" spans="1:26" ht="11.25" customHeight="1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50"/>
      <c r="W228" s="50"/>
      <c r="X228" s="50"/>
      <c r="Y228" s="50"/>
      <c r="Z228" s="50"/>
    </row>
    <row r="229" spans="1:26" ht="15.75" customHeight="1"/>
    <row r="230" spans="1:26" ht="15.75" customHeight="1"/>
    <row r="231" spans="1:26" ht="15.75" customHeight="1"/>
    <row r="232" spans="1:26" ht="15.75" customHeight="1"/>
    <row r="233" spans="1:26" ht="15.75" customHeight="1"/>
    <row r="234" spans="1:26" ht="15.75" customHeight="1"/>
    <row r="235" spans="1:26" ht="15.75" customHeight="1"/>
    <row r="236" spans="1:26" ht="15.75" customHeight="1"/>
    <row r="237" spans="1:26" ht="15.75" customHeight="1"/>
    <row r="238" spans="1:26" ht="15.75" customHeight="1"/>
    <row r="239" spans="1:26" ht="15.75" customHeight="1"/>
    <row r="240" spans="1:26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B5:C5"/>
    <mergeCell ref="D5:L5"/>
    <mergeCell ref="A1:Z1"/>
    <mergeCell ref="B3:C3"/>
    <mergeCell ref="D3:L3"/>
    <mergeCell ref="B4:C4"/>
    <mergeCell ref="D4:L4"/>
  </mergeCells>
  <dataValidations count="1">
    <dataValidation type="list" allowBlank="1" showErrorMessage="1" sqref="B8:B16" xr:uid="{00000000-0002-0000-0100-000000000000}">
      <formula1>"Smoke,Functional,Data Migration,Integration,Regression,UI,Compatibility,Exploratary,UAT"</formula1>
    </dataValidation>
  </dataValidations>
  <pageMargins left="0.7" right="0.7" top="0.75" bottom="0.75" header="0" footer="0"/>
  <pageSetup orientation="portrait"/>
  <headerFooter>
    <oddHeader>&amp;L000000Classification | Public#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977"/>
  <sheetViews>
    <sheetView showGridLines="0" workbookViewId="0">
      <pane ySplit="2" topLeftCell="A3" activePane="bottomLeft" state="frozen"/>
      <selection pane="bottomLeft" activeCell="B5" sqref="B5"/>
    </sheetView>
  </sheetViews>
  <sheetFormatPr defaultColWidth="14.44140625" defaultRowHeight="15" customHeight="1"/>
  <cols>
    <col min="1" max="1" width="8.6640625" customWidth="1"/>
    <col min="2" max="2" width="19.44140625" customWidth="1"/>
    <col min="3" max="3" width="12.44140625" customWidth="1"/>
    <col min="4" max="4" width="9.6640625" customWidth="1"/>
    <col min="5" max="5" width="18.109375" customWidth="1"/>
    <col min="6" max="6" width="35.5546875" customWidth="1"/>
    <col min="7" max="7" width="39.44140625" customWidth="1"/>
    <col min="8" max="8" width="19.88671875" customWidth="1"/>
    <col min="9" max="9" width="41.6640625" customWidth="1"/>
    <col min="10" max="10" width="12.6640625" customWidth="1"/>
    <col min="11" max="11" width="1.33203125" customWidth="1"/>
    <col min="12" max="12" width="12.6640625" customWidth="1"/>
    <col min="13" max="13" width="17.5546875" customWidth="1"/>
    <col min="14" max="14" width="12.6640625" customWidth="1"/>
    <col min="15" max="15" width="14.6640625" customWidth="1"/>
    <col min="16" max="16" width="12.6640625" customWidth="1"/>
    <col min="17" max="17" width="30.6640625" customWidth="1"/>
    <col min="18" max="23" width="8.88671875" customWidth="1"/>
  </cols>
  <sheetData>
    <row r="1" spans="1:25" ht="60" customHeight="1">
      <c r="A1" s="68" t="s">
        <v>0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</row>
    <row r="2" spans="1:25" ht="51" customHeight="1">
      <c r="A2" s="1" t="s">
        <v>1</v>
      </c>
      <c r="B2" s="2" t="s">
        <v>2</v>
      </c>
      <c r="C2" s="2" t="s">
        <v>3</v>
      </c>
      <c r="D2" s="2" t="s">
        <v>4</v>
      </c>
      <c r="E2" s="3" t="s">
        <v>5</v>
      </c>
      <c r="F2" s="4" t="s">
        <v>6</v>
      </c>
      <c r="G2" s="2" t="s">
        <v>7</v>
      </c>
      <c r="H2" s="5" t="s">
        <v>8</v>
      </c>
      <c r="I2" s="2" t="s">
        <v>9</v>
      </c>
      <c r="J2" s="2" t="s">
        <v>10</v>
      </c>
      <c r="K2" s="2"/>
      <c r="L2" s="6" t="s">
        <v>11</v>
      </c>
      <c r="M2" s="2" t="s">
        <v>12</v>
      </c>
      <c r="N2" s="7" t="s">
        <v>13</v>
      </c>
      <c r="O2" s="2" t="s">
        <v>14</v>
      </c>
      <c r="P2" s="8" t="s">
        <v>15</v>
      </c>
      <c r="Q2" s="9" t="s">
        <v>16</v>
      </c>
      <c r="R2" s="10"/>
      <c r="S2" s="10"/>
      <c r="T2" s="10"/>
      <c r="U2" s="10"/>
      <c r="V2" s="10"/>
      <c r="W2" s="10"/>
      <c r="X2" s="11"/>
      <c r="Y2" s="11"/>
    </row>
    <row r="3" spans="1:25" ht="45" customHeight="1">
      <c r="A3" s="12" t="s">
        <v>17</v>
      </c>
      <c r="B3" s="13" t="s">
        <v>18</v>
      </c>
      <c r="C3" s="14" t="s">
        <v>19</v>
      </c>
      <c r="D3" s="14" t="s">
        <v>20</v>
      </c>
      <c r="E3" s="14" t="s">
        <v>21</v>
      </c>
      <c r="F3" s="13" t="s">
        <v>22</v>
      </c>
      <c r="G3" s="13" t="s">
        <v>23</v>
      </c>
      <c r="H3" s="15"/>
      <c r="I3" s="13" t="s">
        <v>24</v>
      </c>
      <c r="J3" s="13" t="s">
        <v>25</v>
      </c>
      <c r="K3" s="16"/>
      <c r="L3" s="14" t="s">
        <v>26</v>
      </c>
      <c r="M3" s="13"/>
      <c r="N3" s="17"/>
      <c r="O3" s="13"/>
      <c r="P3" s="18"/>
      <c r="Q3" s="19"/>
      <c r="R3" s="10"/>
      <c r="S3" s="10"/>
      <c r="T3" s="10"/>
      <c r="U3" s="10"/>
      <c r="V3" s="10"/>
      <c r="W3" s="10"/>
      <c r="X3" s="11"/>
      <c r="Y3" s="11"/>
    </row>
    <row r="4" spans="1:25" ht="43.5" customHeight="1">
      <c r="A4" s="12" t="s">
        <v>27</v>
      </c>
      <c r="B4" s="13" t="s">
        <v>18</v>
      </c>
      <c r="C4" s="14" t="s">
        <v>28</v>
      </c>
      <c r="D4" s="14" t="s">
        <v>29</v>
      </c>
      <c r="E4" s="14"/>
      <c r="F4" s="13" t="s">
        <v>30</v>
      </c>
      <c r="G4" s="13" t="s">
        <v>23</v>
      </c>
      <c r="H4" s="15"/>
      <c r="I4" s="13" t="s">
        <v>31</v>
      </c>
      <c r="J4" s="13" t="s">
        <v>25</v>
      </c>
      <c r="K4" s="16"/>
      <c r="L4" s="14" t="s">
        <v>26</v>
      </c>
      <c r="M4" s="13"/>
      <c r="N4" s="17"/>
      <c r="O4" s="13"/>
      <c r="P4" s="18"/>
      <c r="Q4" s="19"/>
      <c r="R4" s="10"/>
      <c r="S4" s="10"/>
      <c r="T4" s="10"/>
      <c r="U4" s="10"/>
      <c r="V4" s="10"/>
      <c r="W4" s="10"/>
      <c r="X4" s="11"/>
      <c r="Y4" s="11"/>
    </row>
    <row r="5" spans="1:25" ht="44.25" customHeight="1">
      <c r="A5" s="12" t="s">
        <v>32</v>
      </c>
      <c r="B5" s="13" t="s">
        <v>18</v>
      </c>
      <c r="C5" s="14" t="s">
        <v>19</v>
      </c>
      <c r="D5" s="14" t="s">
        <v>20</v>
      </c>
      <c r="E5" s="14" t="s">
        <v>33</v>
      </c>
      <c r="F5" s="13" t="s">
        <v>34</v>
      </c>
      <c r="G5" s="13" t="s">
        <v>35</v>
      </c>
      <c r="H5" s="15"/>
      <c r="I5" s="13" t="s">
        <v>36</v>
      </c>
      <c r="J5" s="13" t="s">
        <v>25</v>
      </c>
      <c r="K5" s="16"/>
      <c r="L5" s="14" t="s">
        <v>26</v>
      </c>
      <c r="M5" s="13"/>
      <c r="N5" s="17"/>
      <c r="O5" s="13"/>
      <c r="P5" s="18"/>
      <c r="Q5" s="19"/>
      <c r="R5" s="10"/>
      <c r="S5" s="10"/>
      <c r="T5" s="10"/>
      <c r="U5" s="10"/>
      <c r="V5" s="10"/>
      <c r="W5" s="10"/>
      <c r="X5" s="11"/>
      <c r="Y5" s="11"/>
    </row>
    <row r="6" spans="1:25" ht="36" customHeight="1">
      <c r="A6" s="12" t="s">
        <v>37</v>
      </c>
      <c r="B6" s="13" t="s">
        <v>18</v>
      </c>
      <c r="C6" s="14" t="s">
        <v>19</v>
      </c>
      <c r="D6" s="14" t="s">
        <v>20</v>
      </c>
      <c r="E6" s="14" t="s">
        <v>38</v>
      </c>
      <c r="F6" s="13" t="s">
        <v>39</v>
      </c>
      <c r="G6" s="13" t="s">
        <v>40</v>
      </c>
      <c r="H6" s="15"/>
      <c r="I6" s="13" t="s">
        <v>41</v>
      </c>
      <c r="J6" s="13" t="s">
        <v>25</v>
      </c>
      <c r="K6" s="16"/>
      <c r="L6" s="14" t="s">
        <v>26</v>
      </c>
      <c r="M6" s="13"/>
      <c r="N6" s="17"/>
      <c r="O6" s="13"/>
      <c r="P6" s="18"/>
      <c r="Q6" s="19"/>
      <c r="R6" s="10"/>
      <c r="S6" s="10"/>
      <c r="T6" s="10"/>
      <c r="U6" s="10"/>
      <c r="V6" s="10"/>
      <c r="W6" s="10"/>
      <c r="X6" s="11"/>
      <c r="Y6" s="11"/>
    </row>
    <row r="7" spans="1:25" ht="58.5" customHeight="1">
      <c r="A7" s="12" t="s">
        <v>42</v>
      </c>
      <c r="B7" s="13" t="s">
        <v>18</v>
      </c>
      <c r="C7" s="14" t="s">
        <v>19</v>
      </c>
      <c r="D7" s="14" t="s">
        <v>20</v>
      </c>
      <c r="E7" s="14"/>
      <c r="F7" s="13" t="s">
        <v>43</v>
      </c>
      <c r="G7" s="13" t="s">
        <v>44</v>
      </c>
      <c r="H7" s="13" t="s">
        <v>45</v>
      </c>
      <c r="I7" s="13" t="s">
        <v>46</v>
      </c>
      <c r="J7" s="13" t="s">
        <v>25</v>
      </c>
      <c r="K7" s="16"/>
      <c r="L7" s="14" t="s">
        <v>26</v>
      </c>
      <c r="M7" s="13"/>
      <c r="N7" s="17"/>
      <c r="O7" s="13"/>
      <c r="P7" s="18"/>
      <c r="Q7" s="19"/>
      <c r="R7" s="10"/>
      <c r="S7" s="10"/>
      <c r="T7" s="10"/>
      <c r="U7" s="10"/>
      <c r="V7" s="10"/>
      <c r="W7" s="10"/>
      <c r="X7" s="11"/>
      <c r="Y7" s="11"/>
    </row>
    <row r="8" spans="1:25" ht="53.25" customHeight="1">
      <c r="A8" s="12" t="s">
        <v>47</v>
      </c>
      <c r="B8" s="13" t="s">
        <v>18</v>
      </c>
      <c r="C8" s="14" t="s">
        <v>19</v>
      </c>
      <c r="D8" s="14" t="s">
        <v>20</v>
      </c>
      <c r="E8" s="14"/>
      <c r="F8" s="13" t="s">
        <v>48</v>
      </c>
      <c r="G8" s="13" t="s">
        <v>44</v>
      </c>
      <c r="H8" s="13" t="s">
        <v>49</v>
      </c>
      <c r="I8" s="13" t="s">
        <v>50</v>
      </c>
      <c r="J8" s="13" t="s">
        <v>25</v>
      </c>
      <c r="K8" s="16"/>
      <c r="L8" s="14" t="s">
        <v>26</v>
      </c>
      <c r="M8" s="13"/>
      <c r="N8" s="17"/>
      <c r="O8" s="13"/>
      <c r="P8" s="18"/>
      <c r="Q8" s="19"/>
      <c r="R8" s="10"/>
      <c r="S8" s="10"/>
      <c r="T8" s="10"/>
      <c r="U8" s="10"/>
      <c r="V8" s="10"/>
      <c r="W8" s="10"/>
      <c r="X8" s="11"/>
      <c r="Y8" s="11"/>
    </row>
    <row r="9" spans="1:25" ht="53.25" customHeight="1">
      <c r="A9" s="12" t="s">
        <v>51</v>
      </c>
      <c r="B9" s="13" t="s">
        <v>18</v>
      </c>
      <c r="C9" s="14" t="s">
        <v>19</v>
      </c>
      <c r="D9" s="14" t="s">
        <v>20</v>
      </c>
      <c r="E9" s="14"/>
      <c r="F9" s="13" t="s">
        <v>52</v>
      </c>
      <c r="G9" s="13" t="s">
        <v>44</v>
      </c>
      <c r="H9" s="13" t="s">
        <v>53</v>
      </c>
      <c r="I9" s="13" t="s">
        <v>54</v>
      </c>
      <c r="J9" s="13" t="s">
        <v>25</v>
      </c>
      <c r="K9" s="16"/>
      <c r="L9" s="14" t="s">
        <v>26</v>
      </c>
      <c r="M9" s="13"/>
      <c r="N9" s="17"/>
      <c r="O9" s="13"/>
      <c r="P9" s="18"/>
      <c r="Q9" s="19"/>
      <c r="R9" s="10"/>
      <c r="S9" s="10"/>
      <c r="T9" s="10"/>
      <c r="U9" s="10"/>
      <c r="V9" s="10"/>
      <c r="W9" s="10"/>
      <c r="X9" s="11"/>
      <c r="Y9" s="11"/>
    </row>
    <row r="10" spans="1:25" ht="56.25" customHeight="1">
      <c r="A10" s="12" t="s">
        <v>55</v>
      </c>
      <c r="B10" s="13" t="s">
        <v>18</v>
      </c>
      <c r="C10" s="14" t="s">
        <v>19</v>
      </c>
      <c r="D10" s="14" t="s">
        <v>20</v>
      </c>
      <c r="E10" s="14"/>
      <c r="F10" s="13" t="s">
        <v>56</v>
      </c>
      <c r="G10" s="13" t="s">
        <v>44</v>
      </c>
      <c r="H10" s="13" t="s">
        <v>57</v>
      </c>
      <c r="I10" s="13" t="s">
        <v>58</v>
      </c>
      <c r="J10" s="13" t="s">
        <v>25</v>
      </c>
      <c r="K10" s="16"/>
      <c r="L10" s="14" t="s">
        <v>26</v>
      </c>
      <c r="M10" s="13"/>
      <c r="N10" s="17"/>
      <c r="O10" s="13"/>
      <c r="P10" s="18"/>
      <c r="Q10" s="19"/>
      <c r="R10" s="10"/>
      <c r="S10" s="10"/>
      <c r="T10" s="10"/>
      <c r="U10" s="10"/>
      <c r="V10" s="10"/>
      <c r="W10" s="10"/>
      <c r="X10" s="11"/>
      <c r="Y10" s="11"/>
    </row>
    <row r="11" spans="1:25" ht="55.5" customHeight="1">
      <c r="A11" s="12" t="s">
        <v>59</v>
      </c>
      <c r="B11" s="13" t="s">
        <v>18</v>
      </c>
      <c r="C11" s="14" t="s">
        <v>19</v>
      </c>
      <c r="D11" s="14" t="s">
        <v>20</v>
      </c>
      <c r="E11" s="14"/>
      <c r="F11" s="13" t="s">
        <v>60</v>
      </c>
      <c r="G11" s="13" t="s">
        <v>44</v>
      </c>
      <c r="H11" s="15"/>
      <c r="I11" s="13" t="s">
        <v>61</v>
      </c>
      <c r="J11" s="13" t="s">
        <v>25</v>
      </c>
      <c r="K11" s="16"/>
      <c r="L11" s="14" t="s">
        <v>26</v>
      </c>
      <c r="M11" s="13"/>
      <c r="N11" s="17"/>
      <c r="O11" s="13"/>
      <c r="P11" s="18"/>
      <c r="Q11" s="19"/>
      <c r="R11" s="10"/>
      <c r="S11" s="10"/>
      <c r="T11" s="10"/>
      <c r="U11" s="10"/>
      <c r="V11" s="10"/>
      <c r="W11" s="10"/>
      <c r="X11" s="11"/>
      <c r="Y11" s="11"/>
    </row>
    <row r="12" spans="1:25" ht="56.25" customHeight="1">
      <c r="A12" s="12" t="s">
        <v>62</v>
      </c>
      <c r="B12" s="13" t="s">
        <v>18</v>
      </c>
      <c r="C12" s="14" t="s">
        <v>19</v>
      </c>
      <c r="D12" s="14" t="s">
        <v>20</v>
      </c>
      <c r="E12" s="14"/>
      <c r="F12" s="13" t="s">
        <v>63</v>
      </c>
      <c r="G12" s="13" t="s">
        <v>44</v>
      </c>
      <c r="H12" s="15" t="s">
        <v>64</v>
      </c>
      <c r="I12" s="13" t="s">
        <v>65</v>
      </c>
      <c r="J12" s="13" t="s">
        <v>25</v>
      </c>
      <c r="K12" s="16"/>
      <c r="L12" s="14" t="s">
        <v>26</v>
      </c>
      <c r="M12" s="13"/>
      <c r="N12" s="17"/>
      <c r="O12" s="13"/>
      <c r="P12" s="18"/>
      <c r="Q12" s="19"/>
      <c r="R12" s="10"/>
      <c r="S12" s="10"/>
      <c r="T12" s="10"/>
      <c r="U12" s="10"/>
      <c r="V12" s="10"/>
      <c r="W12" s="10"/>
      <c r="X12" s="11"/>
      <c r="Y12" s="11"/>
    </row>
    <row r="13" spans="1:25" ht="61.5" customHeight="1">
      <c r="A13" s="12" t="s">
        <v>66</v>
      </c>
      <c r="B13" s="13" t="s">
        <v>18</v>
      </c>
      <c r="C13" s="14" t="s">
        <v>19</v>
      </c>
      <c r="D13" s="14" t="s">
        <v>20</v>
      </c>
      <c r="E13" s="14"/>
      <c r="F13" s="13" t="s">
        <v>67</v>
      </c>
      <c r="G13" s="13" t="s">
        <v>44</v>
      </c>
      <c r="H13" s="15"/>
      <c r="I13" s="13" t="s">
        <v>68</v>
      </c>
      <c r="J13" s="13" t="s">
        <v>25</v>
      </c>
      <c r="K13" s="16"/>
      <c r="L13" s="14" t="s">
        <v>26</v>
      </c>
      <c r="M13" s="13"/>
      <c r="N13" s="17"/>
      <c r="O13" s="13"/>
      <c r="P13" s="18"/>
      <c r="Q13" s="19"/>
      <c r="R13" s="10"/>
      <c r="S13" s="10"/>
      <c r="T13" s="10"/>
      <c r="U13" s="10"/>
      <c r="V13" s="10"/>
      <c r="W13" s="10"/>
      <c r="X13" s="11"/>
      <c r="Y13" s="11"/>
    </row>
    <row r="14" spans="1:25" ht="62.25" customHeight="1">
      <c r="A14" s="12" t="s">
        <v>69</v>
      </c>
      <c r="B14" s="13" t="s">
        <v>18</v>
      </c>
      <c r="C14" s="14" t="s">
        <v>19</v>
      </c>
      <c r="D14" s="14" t="s">
        <v>20</v>
      </c>
      <c r="E14" s="14"/>
      <c r="F14" s="13" t="s">
        <v>70</v>
      </c>
      <c r="G14" s="13" t="s">
        <v>44</v>
      </c>
      <c r="H14" s="15"/>
      <c r="I14" s="13" t="s">
        <v>71</v>
      </c>
      <c r="J14" s="13" t="s">
        <v>25</v>
      </c>
      <c r="K14" s="16"/>
      <c r="L14" s="14" t="s">
        <v>26</v>
      </c>
      <c r="M14" s="13"/>
      <c r="N14" s="17"/>
      <c r="O14" s="13"/>
      <c r="P14" s="18"/>
      <c r="Q14" s="19"/>
      <c r="R14" s="10"/>
      <c r="S14" s="10"/>
      <c r="T14" s="10"/>
      <c r="U14" s="10"/>
      <c r="V14" s="10"/>
      <c r="W14" s="10"/>
      <c r="X14" s="11"/>
      <c r="Y14" s="11"/>
    </row>
    <row r="15" spans="1:25" ht="49.5" customHeight="1">
      <c r="A15" s="12" t="s">
        <v>72</v>
      </c>
      <c r="B15" s="13" t="s">
        <v>18</v>
      </c>
      <c r="C15" s="14" t="s">
        <v>19</v>
      </c>
      <c r="D15" s="14" t="s">
        <v>20</v>
      </c>
      <c r="E15" s="14"/>
      <c r="F15" s="13" t="s">
        <v>73</v>
      </c>
      <c r="G15" s="13" t="s">
        <v>44</v>
      </c>
      <c r="H15" s="15"/>
      <c r="I15" s="13" t="s">
        <v>74</v>
      </c>
      <c r="J15" s="13" t="s">
        <v>25</v>
      </c>
      <c r="K15" s="16"/>
      <c r="L15" s="14" t="s">
        <v>26</v>
      </c>
      <c r="M15" s="13"/>
      <c r="N15" s="17"/>
      <c r="O15" s="13"/>
      <c r="P15" s="18"/>
      <c r="Q15" s="19"/>
      <c r="R15" s="10"/>
      <c r="S15" s="10"/>
      <c r="T15" s="10"/>
      <c r="U15" s="10"/>
      <c r="V15" s="10"/>
      <c r="W15" s="10"/>
      <c r="X15" s="11"/>
      <c r="Y15" s="11"/>
    </row>
    <row r="16" spans="1:25" ht="80.25" customHeight="1">
      <c r="A16" s="12" t="s">
        <v>75</v>
      </c>
      <c r="B16" s="13" t="s">
        <v>18</v>
      </c>
      <c r="C16" s="14" t="s">
        <v>19</v>
      </c>
      <c r="D16" s="14" t="s">
        <v>20</v>
      </c>
      <c r="E16" s="14"/>
      <c r="F16" s="13" t="s">
        <v>76</v>
      </c>
      <c r="G16" s="13" t="s">
        <v>77</v>
      </c>
      <c r="H16" s="15"/>
      <c r="I16" s="13" t="s">
        <v>78</v>
      </c>
      <c r="J16" s="13" t="s">
        <v>25</v>
      </c>
      <c r="K16" s="16"/>
      <c r="L16" s="14" t="s">
        <v>26</v>
      </c>
      <c r="M16" s="13"/>
      <c r="N16" s="17"/>
      <c r="O16" s="13"/>
      <c r="P16" s="18"/>
      <c r="Q16" s="19"/>
      <c r="R16" s="10"/>
      <c r="S16" s="10"/>
      <c r="T16" s="10"/>
      <c r="U16" s="10"/>
      <c r="V16" s="10"/>
      <c r="W16" s="10"/>
      <c r="X16" s="11"/>
      <c r="Y16" s="11"/>
    </row>
    <row r="17" spans="1:25" ht="74.25" customHeight="1">
      <c r="A17" s="12" t="s">
        <v>79</v>
      </c>
      <c r="B17" s="13" t="s">
        <v>18</v>
      </c>
      <c r="C17" s="14" t="s">
        <v>19</v>
      </c>
      <c r="D17" s="14" t="s">
        <v>20</v>
      </c>
      <c r="E17" s="14"/>
      <c r="F17" s="13" t="s">
        <v>80</v>
      </c>
      <c r="G17" s="13" t="s">
        <v>44</v>
      </c>
      <c r="H17" s="15" t="s">
        <v>81</v>
      </c>
      <c r="I17" s="13" t="s">
        <v>82</v>
      </c>
      <c r="J17" s="13" t="s">
        <v>25</v>
      </c>
      <c r="K17" s="16"/>
      <c r="L17" s="14" t="s">
        <v>26</v>
      </c>
      <c r="M17" s="13"/>
      <c r="N17" s="17"/>
      <c r="O17" s="13"/>
      <c r="P17" s="18"/>
      <c r="Q17" s="19"/>
      <c r="R17" s="10"/>
      <c r="S17" s="10"/>
      <c r="T17" s="10"/>
      <c r="U17" s="10"/>
      <c r="V17" s="10"/>
      <c r="W17" s="10"/>
      <c r="X17" s="11"/>
      <c r="Y17" s="11"/>
    </row>
    <row r="18" spans="1:25" ht="57.75" customHeight="1">
      <c r="A18" s="12" t="s">
        <v>83</v>
      </c>
      <c r="B18" s="13" t="s">
        <v>18</v>
      </c>
      <c r="C18" s="14" t="s">
        <v>19</v>
      </c>
      <c r="D18" s="14" t="s">
        <v>20</v>
      </c>
      <c r="E18" s="14"/>
      <c r="F18" s="13" t="s">
        <v>84</v>
      </c>
      <c r="G18" s="13" t="s">
        <v>44</v>
      </c>
      <c r="H18" s="15" t="s">
        <v>85</v>
      </c>
      <c r="I18" s="13" t="s">
        <v>86</v>
      </c>
      <c r="J18" s="13" t="s">
        <v>25</v>
      </c>
      <c r="K18" s="16"/>
      <c r="L18" s="14" t="s">
        <v>26</v>
      </c>
      <c r="M18" s="13"/>
      <c r="N18" s="17"/>
      <c r="O18" s="13"/>
      <c r="P18" s="18"/>
      <c r="Q18" s="19"/>
      <c r="R18" s="10"/>
      <c r="S18" s="10"/>
      <c r="T18" s="10"/>
      <c r="U18" s="10"/>
      <c r="V18" s="10"/>
      <c r="W18" s="10"/>
      <c r="X18" s="11"/>
      <c r="Y18" s="11"/>
    </row>
    <row r="19" spans="1:25" ht="57.75" customHeight="1">
      <c r="A19" s="12" t="s">
        <v>87</v>
      </c>
      <c r="B19" s="13" t="s">
        <v>18</v>
      </c>
      <c r="C19" s="14" t="s">
        <v>19</v>
      </c>
      <c r="D19" s="14" t="s">
        <v>20</v>
      </c>
      <c r="E19" s="14"/>
      <c r="F19" s="13" t="s">
        <v>88</v>
      </c>
      <c r="G19" s="13" t="s">
        <v>44</v>
      </c>
      <c r="H19" s="15" t="s">
        <v>89</v>
      </c>
      <c r="I19" s="13" t="s">
        <v>90</v>
      </c>
      <c r="J19" s="13" t="s">
        <v>25</v>
      </c>
      <c r="K19" s="16"/>
      <c r="L19" s="14" t="s">
        <v>26</v>
      </c>
      <c r="M19" s="13"/>
      <c r="N19" s="17"/>
      <c r="O19" s="13"/>
      <c r="P19" s="18"/>
      <c r="Q19" s="19"/>
      <c r="R19" s="10"/>
      <c r="S19" s="10"/>
      <c r="T19" s="10"/>
      <c r="U19" s="10"/>
      <c r="V19" s="10"/>
      <c r="W19" s="10"/>
      <c r="X19" s="11"/>
      <c r="Y19" s="11"/>
    </row>
    <row r="20" spans="1:25" ht="58.5" customHeight="1">
      <c r="A20" s="12" t="s">
        <v>91</v>
      </c>
      <c r="B20" s="13" t="s">
        <v>18</v>
      </c>
      <c r="C20" s="14" t="s">
        <v>19</v>
      </c>
      <c r="D20" s="14" t="s">
        <v>20</v>
      </c>
      <c r="E20" s="14"/>
      <c r="F20" s="13" t="s">
        <v>92</v>
      </c>
      <c r="G20" s="13" t="s">
        <v>44</v>
      </c>
      <c r="H20" s="15" t="s">
        <v>93</v>
      </c>
      <c r="I20" s="13" t="s">
        <v>94</v>
      </c>
      <c r="J20" s="13" t="s">
        <v>25</v>
      </c>
      <c r="K20" s="16"/>
      <c r="L20" s="14" t="s">
        <v>26</v>
      </c>
      <c r="M20" s="13"/>
      <c r="N20" s="17"/>
      <c r="O20" s="13"/>
      <c r="P20" s="18"/>
      <c r="Q20" s="19"/>
      <c r="R20" s="10"/>
      <c r="S20" s="10"/>
      <c r="T20" s="10"/>
      <c r="U20" s="10"/>
      <c r="V20" s="10"/>
      <c r="W20" s="10"/>
      <c r="X20" s="11"/>
      <c r="Y20" s="11"/>
    </row>
    <row r="21" spans="1:25" ht="62.25" customHeight="1">
      <c r="A21" s="12" t="s">
        <v>95</v>
      </c>
      <c r="B21" s="13" t="s">
        <v>18</v>
      </c>
      <c r="C21" s="14" t="s">
        <v>19</v>
      </c>
      <c r="D21" s="14" t="s">
        <v>20</v>
      </c>
      <c r="E21" s="14"/>
      <c r="F21" s="13" t="s">
        <v>96</v>
      </c>
      <c r="G21" s="13" t="s">
        <v>44</v>
      </c>
      <c r="H21" s="15" t="s">
        <v>97</v>
      </c>
      <c r="I21" s="13" t="s">
        <v>98</v>
      </c>
      <c r="J21" s="13" t="s">
        <v>25</v>
      </c>
      <c r="K21" s="16"/>
      <c r="L21" s="14" t="s">
        <v>26</v>
      </c>
      <c r="M21" s="13"/>
      <c r="N21" s="17"/>
      <c r="O21" s="13"/>
      <c r="P21" s="18"/>
      <c r="Q21" s="19"/>
      <c r="R21" s="10"/>
      <c r="S21" s="10"/>
      <c r="T21" s="10"/>
      <c r="U21" s="10"/>
      <c r="V21" s="10"/>
      <c r="W21" s="10"/>
      <c r="X21" s="11"/>
      <c r="Y21" s="11"/>
    </row>
    <row r="22" spans="1:25" ht="53.25" customHeight="1">
      <c r="A22" s="12" t="s">
        <v>99</v>
      </c>
      <c r="B22" s="13" t="s">
        <v>18</v>
      </c>
      <c r="C22" s="14" t="s">
        <v>19</v>
      </c>
      <c r="D22" s="14" t="s">
        <v>20</v>
      </c>
      <c r="E22" s="14"/>
      <c r="F22" s="13" t="s">
        <v>100</v>
      </c>
      <c r="G22" s="13" t="s">
        <v>44</v>
      </c>
      <c r="H22" s="15" t="s">
        <v>101</v>
      </c>
      <c r="I22" s="13" t="s">
        <v>102</v>
      </c>
      <c r="J22" s="13" t="s">
        <v>25</v>
      </c>
      <c r="K22" s="16"/>
      <c r="L22" s="14" t="s">
        <v>26</v>
      </c>
      <c r="M22" s="13"/>
      <c r="N22" s="17"/>
      <c r="O22" s="13"/>
      <c r="P22" s="18"/>
      <c r="Q22" s="19"/>
      <c r="R22" s="10"/>
      <c r="S22" s="10"/>
      <c r="T22" s="10"/>
      <c r="U22" s="10"/>
      <c r="V22" s="10"/>
      <c r="W22" s="10"/>
      <c r="X22" s="11"/>
      <c r="Y22" s="11"/>
    </row>
    <row r="23" spans="1:25" ht="57" customHeight="1">
      <c r="A23" s="12" t="s">
        <v>103</v>
      </c>
      <c r="B23" s="13" t="s">
        <v>18</v>
      </c>
      <c r="C23" s="14" t="s">
        <v>19</v>
      </c>
      <c r="D23" s="14" t="s">
        <v>20</v>
      </c>
      <c r="E23" s="14"/>
      <c r="F23" s="13" t="s">
        <v>104</v>
      </c>
      <c r="G23" s="13" t="s">
        <v>44</v>
      </c>
      <c r="H23" s="15" t="s">
        <v>105</v>
      </c>
      <c r="I23" s="13" t="s">
        <v>106</v>
      </c>
      <c r="J23" s="13" t="s">
        <v>25</v>
      </c>
      <c r="K23" s="16"/>
      <c r="L23" s="14" t="s">
        <v>26</v>
      </c>
      <c r="M23" s="13"/>
      <c r="N23" s="17"/>
      <c r="O23" s="13"/>
      <c r="P23" s="18"/>
      <c r="Q23" s="19"/>
      <c r="R23" s="10"/>
      <c r="S23" s="10"/>
      <c r="T23" s="10"/>
      <c r="U23" s="10"/>
      <c r="V23" s="10"/>
      <c r="W23" s="10"/>
      <c r="X23" s="11"/>
      <c r="Y23" s="11"/>
    </row>
    <row r="24" spans="1:25" ht="63.75" customHeight="1">
      <c r="A24" s="12" t="s">
        <v>107</v>
      </c>
      <c r="B24" s="13" t="s">
        <v>18</v>
      </c>
      <c r="C24" s="14" t="s">
        <v>19</v>
      </c>
      <c r="D24" s="14" t="s">
        <v>20</v>
      </c>
      <c r="E24" s="14"/>
      <c r="F24" s="13" t="s">
        <v>108</v>
      </c>
      <c r="G24" s="13" t="s">
        <v>44</v>
      </c>
      <c r="H24" s="15" t="s">
        <v>109</v>
      </c>
      <c r="I24" s="13" t="s">
        <v>110</v>
      </c>
      <c r="J24" s="13" t="s">
        <v>25</v>
      </c>
      <c r="K24" s="16"/>
      <c r="L24" s="14" t="s">
        <v>26</v>
      </c>
      <c r="M24" s="13"/>
      <c r="N24" s="17"/>
      <c r="O24" s="13"/>
      <c r="P24" s="18"/>
      <c r="Q24" s="19"/>
      <c r="R24" s="10"/>
      <c r="S24" s="10"/>
      <c r="T24" s="10"/>
      <c r="U24" s="10"/>
      <c r="V24" s="10"/>
      <c r="W24" s="10"/>
      <c r="X24" s="11"/>
      <c r="Y24" s="11"/>
    </row>
    <row r="25" spans="1:25" ht="57" customHeight="1">
      <c r="A25" s="12" t="s">
        <v>111</v>
      </c>
      <c r="B25" s="13" t="s">
        <v>18</v>
      </c>
      <c r="C25" s="14" t="s">
        <v>19</v>
      </c>
      <c r="D25" s="14" t="s">
        <v>20</v>
      </c>
      <c r="E25" s="14"/>
      <c r="F25" s="13" t="s">
        <v>112</v>
      </c>
      <c r="G25" s="13" t="s">
        <v>44</v>
      </c>
      <c r="H25" s="15"/>
      <c r="I25" s="13" t="s">
        <v>113</v>
      </c>
      <c r="J25" s="13" t="s">
        <v>25</v>
      </c>
      <c r="K25" s="16"/>
      <c r="L25" s="14" t="s">
        <v>26</v>
      </c>
      <c r="M25" s="13"/>
      <c r="N25" s="17"/>
      <c r="O25" s="13"/>
      <c r="P25" s="18"/>
      <c r="Q25" s="19"/>
      <c r="R25" s="10"/>
      <c r="S25" s="10"/>
      <c r="T25" s="10"/>
      <c r="U25" s="10"/>
      <c r="V25" s="10"/>
      <c r="W25" s="10"/>
      <c r="X25" s="11"/>
      <c r="Y25" s="11"/>
    </row>
    <row r="26" spans="1:25" ht="57" customHeight="1">
      <c r="A26" s="12" t="s">
        <v>114</v>
      </c>
      <c r="B26" s="13" t="s">
        <v>18</v>
      </c>
      <c r="C26" s="14" t="s">
        <v>19</v>
      </c>
      <c r="D26" s="14" t="s">
        <v>20</v>
      </c>
      <c r="E26" s="14"/>
      <c r="F26" s="13" t="s">
        <v>115</v>
      </c>
      <c r="G26" s="13" t="s">
        <v>44</v>
      </c>
      <c r="H26" s="15"/>
      <c r="I26" s="13" t="s">
        <v>116</v>
      </c>
      <c r="J26" s="13" t="s">
        <v>25</v>
      </c>
      <c r="K26" s="16"/>
      <c r="L26" s="14" t="s">
        <v>26</v>
      </c>
      <c r="M26" s="13"/>
      <c r="N26" s="17"/>
      <c r="O26" s="13"/>
      <c r="P26" s="18"/>
      <c r="Q26" s="19"/>
      <c r="R26" s="10"/>
      <c r="S26" s="10"/>
      <c r="T26" s="10"/>
      <c r="U26" s="10"/>
      <c r="V26" s="10"/>
      <c r="W26" s="10"/>
      <c r="X26" s="11"/>
      <c r="Y26" s="11"/>
    </row>
    <row r="27" spans="1:25" ht="60" customHeight="1">
      <c r="A27" s="12" t="s">
        <v>117</v>
      </c>
      <c r="B27" s="13" t="s">
        <v>18</v>
      </c>
      <c r="C27" s="14" t="s">
        <v>19</v>
      </c>
      <c r="D27" s="14" t="s">
        <v>20</v>
      </c>
      <c r="E27" s="14"/>
      <c r="F27" s="13" t="s">
        <v>118</v>
      </c>
      <c r="G27" s="13" t="s">
        <v>44</v>
      </c>
      <c r="H27" s="15" t="s">
        <v>119</v>
      </c>
      <c r="I27" s="13" t="s">
        <v>120</v>
      </c>
      <c r="J27" s="13" t="s">
        <v>25</v>
      </c>
      <c r="K27" s="16"/>
      <c r="L27" s="14" t="s">
        <v>26</v>
      </c>
      <c r="M27" s="13"/>
      <c r="N27" s="17"/>
      <c r="O27" s="13"/>
      <c r="P27" s="18"/>
      <c r="Q27" s="19"/>
      <c r="R27" s="10"/>
      <c r="S27" s="10"/>
      <c r="T27" s="10"/>
      <c r="U27" s="10"/>
      <c r="V27" s="10"/>
      <c r="W27" s="10"/>
      <c r="X27" s="11"/>
      <c r="Y27" s="11"/>
    </row>
    <row r="28" spans="1:25" ht="57.75" customHeight="1">
      <c r="A28" s="12" t="s">
        <v>121</v>
      </c>
      <c r="B28" s="13" t="s">
        <v>18</v>
      </c>
      <c r="C28" s="14" t="s">
        <v>19</v>
      </c>
      <c r="D28" s="14" t="s">
        <v>20</v>
      </c>
      <c r="E28" s="14" t="s">
        <v>122</v>
      </c>
      <c r="F28" s="13" t="s">
        <v>123</v>
      </c>
      <c r="G28" s="13" t="s">
        <v>44</v>
      </c>
      <c r="H28" s="15"/>
      <c r="I28" s="13" t="s">
        <v>124</v>
      </c>
      <c r="J28" s="13" t="s">
        <v>25</v>
      </c>
      <c r="K28" s="16"/>
      <c r="L28" s="14" t="s">
        <v>26</v>
      </c>
      <c r="M28" s="13"/>
      <c r="N28" s="17"/>
      <c r="O28" s="13"/>
      <c r="P28" s="18"/>
      <c r="Q28" s="19"/>
      <c r="R28" s="10"/>
      <c r="S28" s="10"/>
      <c r="T28" s="10"/>
      <c r="U28" s="10"/>
      <c r="V28" s="10"/>
      <c r="W28" s="10"/>
      <c r="X28" s="11"/>
      <c r="Y28" s="11"/>
    </row>
    <row r="29" spans="1:25" ht="57.75" customHeight="1">
      <c r="A29" s="12" t="s">
        <v>125</v>
      </c>
      <c r="B29" s="13" t="s">
        <v>18</v>
      </c>
      <c r="C29" s="14" t="s">
        <v>19</v>
      </c>
      <c r="D29" s="14" t="s">
        <v>20</v>
      </c>
      <c r="E29" s="14"/>
      <c r="F29" s="13" t="s">
        <v>126</v>
      </c>
      <c r="G29" s="13" t="s">
        <v>127</v>
      </c>
      <c r="H29" s="15" t="s">
        <v>128</v>
      </c>
      <c r="I29" s="13" t="s">
        <v>129</v>
      </c>
      <c r="J29" s="13" t="s">
        <v>25</v>
      </c>
      <c r="K29" s="16"/>
      <c r="L29" s="14" t="s">
        <v>26</v>
      </c>
      <c r="M29" s="13"/>
      <c r="N29" s="17"/>
      <c r="O29" s="13"/>
      <c r="P29" s="18"/>
      <c r="Q29" s="19"/>
      <c r="R29" s="10"/>
      <c r="S29" s="10"/>
      <c r="T29" s="10"/>
      <c r="U29" s="10"/>
      <c r="V29" s="10"/>
      <c r="W29" s="10"/>
      <c r="X29" s="11"/>
      <c r="Y29" s="11"/>
    </row>
    <row r="30" spans="1:25" ht="61.5" customHeight="1">
      <c r="A30" s="12" t="s">
        <v>130</v>
      </c>
      <c r="B30" s="13" t="s">
        <v>18</v>
      </c>
      <c r="C30" s="14" t="s">
        <v>19</v>
      </c>
      <c r="D30" s="14" t="s">
        <v>20</v>
      </c>
      <c r="E30" s="14"/>
      <c r="F30" s="13" t="s">
        <v>131</v>
      </c>
      <c r="G30" s="13" t="s">
        <v>132</v>
      </c>
      <c r="H30" s="15" t="s">
        <v>133</v>
      </c>
      <c r="I30" s="13" t="s">
        <v>134</v>
      </c>
      <c r="J30" s="13" t="s">
        <v>25</v>
      </c>
      <c r="K30" s="16"/>
      <c r="L30" s="14" t="s">
        <v>26</v>
      </c>
      <c r="M30" s="13"/>
      <c r="N30" s="17"/>
      <c r="O30" s="13"/>
      <c r="P30" s="18"/>
      <c r="Q30" s="19"/>
      <c r="R30" s="10"/>
      <c r="S30" s="10"/>
      <c r="T30" s="10"/>
      <c r="U30" s="10"/>
      <c r="V30" s="10"/>
      <c r="W30" s="10"/>
      <c r="X30" s="11"/>
      <c r="Y30" s="11"/>
    </row>
    <row r="31" spans="1:25" ht="60.75" customHeight="1">
      <c r="A31" s="12" t="s">
        <v>135</v>
      </c>
      <c r="B31" s="13" t="s">
        <v>18</v>
      </c>
      <c r="C31" s="14" t="s">
        <v>136</v>
      </c>
      <c r="D31" s="14" t="s">
        <v>20</v>
      </c>
      <c r="E31" s="14" t="s">
        <v>137</v>
      </c>
      <c r="F31" s="13" t="s">
        <v>138</v>
      </c>
      <c r="G31" s="13" t="s">
        <v>139</v>
      </c>
      <c r="H31" s="15"/>
      <c r="I31" s="13" t="s">
        <v>140</v>
      </c>
      <c r="J31" s="13" t="s">
        <v>25</v>
      </c>
      <c r="K31" s="16"/>
      <c r="L31" s="14" t="s">
        <v>26</v>
      </c>
      <c r="M31" s="13"/>
      <c r="N31" s="17"/>
      <c r="O31" s="13"/>
      <c r="P31" s="18"/>
      <c r="Q31" s="19"/>
      <c r="R31" s="10"/>
      <c r="S31" s="10"/>
      <c r="T31" s="10"/>
      <c r="U31" s="10"/>
      <c r="V31" s="10"/>
      <c r="W31" s="10"/>
      <c r="X31" s="11"/>
      <c r="Y31" s="11"/>
    </row>
    <row r="32" spans="1:25" ht="66" customHeight="1">
      <c r="A32" s="12" t="s">
        <v>141</v>
      </c>
      <c r="B32" s="13" t="s">
        <v>18</v>
      </c>
      <c r="C32" s="14" t="s">
        <v>136</v>
      </c>
      <c r="D32" s="14" t="s">
        <v>20</v>
      </c>
      <c r="E32" s="14" t="s">
        <v>142</v>
      </c>
      <c r="F32" s="13" t="s">
        <v>143</v>
      </c>
      <c r="G32" s="13" t="s">
        <v>144</v>
      </c>
      <c r="H32" s="15"/>
      <c r="I32" s="13" t="s">
        <v>140</v>
      </c>
      <c r="J32" s="13" t="s">
        <v>25</v>
      </c>
      <c r="K32" s="16"/>
      <c r="L32" s="14" t="s">
        <v>26</v>
      </c>
      <c r="M32" s="13"/>
      <c r="N32" s="17"/>
      <c r="O32" s="13"/>
      <c r="P32" s="18"/>
      <c r="Q32" s="19"/>
      <c r="R32" s="10"/>
      <c r="S32" s="10"/>
      <c r="T32" s="10"/>
      <c r="U32" s="10"/>
      <c r="V32" s="10"/>
      <c r="W32" s="10"/>
      <c r="X32" s="11"/>
      <c r="Y32" s="11"/>
    </row>
    <row r="33" spans="1:25" ht="68.25" customHeight="1">
      <c r="A33" s="12" t="s">
        <v>145</v>
      </c>
      <c r="B33" s="13" t="s">
        <v>18</v>
      </c>
      <c r="C33" s="14" t="s">
        <v>28</v>
      </c>
      <c r="D33" s="14" t="s">
        <v>20</v>
      </c>
      <c r="E33" s="14"/>
      <c r="F33" s="13" t="s">
        <v>146</v>
      </c>
      <c r="G33" s="13" t="s">
        <v>144</v>
      </c>
      <c r="H33" s="15"/>
      <c r="I33" s="13" t="s">
        <v>147</v>
      </c>
      <c r="J33" s="13" t="s">
        <v>25</v>
      </c>
      <c r="K33" s="16"/>
      <c r="L33" s="14" t="s">
        <v>26</v>
      </c>
      <c r="M33" s="13"/>
      <c r="N33" s="17"/>
      <c r="O33" s="13"/>
      <c r="P33" s="18"/>
      <c r="Q33" s="19"/>
      <c r="R33" s="10"/>
      <c r="S33" s="10"/>
      <c r="T33" s="10"/>
      <c r="U33" s="10"/>
      <c r="V33" s="10"/>
      <c r="W33" s="10"/>
      <c r="X33" s="11"/>
      <c r="Y33" s="11"/>
    </row>
    <row r="34" spans="1:25" ht="67.5" customHeight="1">
      <c r="A34" s="12" t="s">
        <v>148</v>
      </c>
      <c r="B34" s="13" t="s">
        <v>18</v>
      </c>
      <c r="C34" s="14" t="s">
        <v>19</v>
      </c>
      <c r="D34" s="14" t="s">
        <v>20</v>
      </c>
      <c r="E34" s="14"/>
      <c r="F34" s="13" t="s">
        <v>149</v>
      </c>
      <c r="G34" s="13" t="s">
        <v>150</v>
      </c>
      <c r="H34" s="15"/>
      <c r="I34" s="13" t="s">
        <v>151</v>
      </c>
      <c r="J34" s="13" t="s">
        <v>25</v>
      </c>
      <c r="K34" s="16"/>
      <c r="L34" s="14" t="s">
        <v>26</v>
      </c>
      <c r="M34" s="13"/>
      <c r="N34" s="17"/>
      <c r="O34" s="13"/>
      <c r="P34" s="18"/>
      <c r="Q34" s="19"/>
      <c r="R34" s="10"/>
      <c r="S34" s="10"/>
      <c r="T34" s="10"/>
      <c r="U34" s="10"/>
      <c r="V34" s="10"/>
      <c r="W34" s="10"/>
      <c r="X34" s="11"/>
      <c r="Y34" s="11"/>
    </row>
    <row r="35" spans="1:25" ht="15.7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1"/>
      <c r="L35" s="20"/>
      <c r="M35" s="20"/>
      <c r="N35" s="20"/>
      <c r="O35" s="20"/>
      <c r="P35" s="20"/>
      <c r="Q35" s="20"/>
      <c r="R35" s="11"/>
      <c r="S35" s="11"/>
      <c r="T35" s="11"/>
      <c r="U35" s="11"/>
      <c r="V35" s="11"/>
      <c r="W35" s="11"/>
      <c r="X35" s="11"/>
      <c r="Y35" s="11"/>
    </row>
    <row r="36" spans="1:25" ht="15.75" customHeight="1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1"/>
      <c r="L36" s="20"/>
      <c r="M36" s="20"/>
      <c r="N36" s="20"/>
      <c r="O36" s="20"/>
      <c r="P36" s="20"/>
      <c r="Q36" s="20"/>
      <c r="R36" s="11"/>
      <c r="S36" s="11"/>
      <c r="T36" s="11"/>
      <c r="U36" s="11"/>
      <c r="V36" s="11"/>
      <c r="W36" s="11"/>
      <c r="X36" s="11"/>
      <c r="Y36" s="11"/>
    </row>
    <row r="37" spans="1:25" ht="15.75" customHeight="1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1"/>
      <c r="L37" s="20"/>
      <c r="M37" s="20"/>
      <c r="N37" s="20"/>
      <c r="O37" s="20"/>
      <c r="P37" s="20"/>
      <c r="Q37" s="20"/>
      <c r="R37" s="11"/>
      <c r="S37" s="11"/>
      <c r="T37" s="11"/>
      <c r="U37" s="11"/>
      <c r="V37" s="11"/>
      <c r="W37" s="11"/>
      <c r="X37" s="11"/>
      <c r="Y37" s="11"/>
    </row>
    <row r="38" spans="1:25" ht="15.75" customHeight="1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1"/>
      <c r="L38" s="20"/>
      <c r="M38" s="20"/>
      <c r="N38" s="20"/>
      <c r="O38" s="20"/>
      <c r="P38" s="20"/>
      <c r="Q38" s="20"/>
      <c r="R38" s="11"/>
      <c r="S38" s="11"/>
      <c r="T38" s="11"/>
      <c r="U38" s="11"/>
      <c r="V38" s="11"/>
      <c r="W38" s="11"/>
      <c r="X38" s="11"/>
      <c r="Y38" s="11"/>
    </row>
    <row r="39" spans="1:25" ht="15.75" customHeight="1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1"/>
      <c r="L39" s="20"/>
      <c r="M39" s="20"/>
      <c r="N39" s="20"/>
      <c r="O39" s="20"/>
      <c r="P39" s="20"/>
      <c r="Q39" s="20"/>
      <c r="R39" s="11"/>
      <c r="S39" s="11"/>
      <c r="T39" s="11"/>
      <c r="U39" s="11"/>
      <c r="V39" s="11"/>
      <c r="W39" s="11"/>
      <c r="X39" s="11"/>
      <c r="Y39" s="11"/>
    </row>
    <row r="40" spans="1:25" ht="15.7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1"/>
      <c r="L40" s="20"/>
      <c r="M40" s="20"/>
      <c r="N40" s="20"/>
      <c r="O40" s="20"/>
      <c r="P40" s="20"/>
      <c r="Q40" s="20"/>
      <c r="R40" s="11"/>
      <c r="S40" s="11"/>
      <c r="T40" s="11"/>
      <c r="U40" s="11"/>
      <c r="V40" s="11"/>
      <c r="W40" s="11"/>
      <c r="X40" s="11"/>
      <c r="Y40" s="11"/>
    </row>
    <row r="41" spans="1:25" ht="15.7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1"/>
      <c r="L41" s="20"/>
      <c r="M41" s="20"/>
      <c r="N41" s="20"/>
      <c r="O41" s="20"/>
      <c r="P41" s="20"/>
      <c r="Q41" s="20"/>
      <c r="R41" s="11"/>
      <c r="S41" s="11"/>
      <c r="T41" s="11"/>
      <c r="U41" s="11"/>
      <c r="V41" s="11"/>
      <c r="W41" s="11"/>
      <c r="X41" s="11"/>
      <c r="Y41" s="11"/>
    </row>
    <row r="42" spans="1:25" ht="15.75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2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</row>
    <row r="43" spans="1:25" ht="15.75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2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</row>
    <row r="44" spans="1:25" ht="15.75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2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</row>
    <row r="45" spans="1:25" ht="15.7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2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</row>
    <row r="46" spans="1:25" ht="15.7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2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</row>
    <row r="47" spans="1:25" ht="15.7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2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</row>
    <row r="48" spans="1:25" ht="15.7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2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</row>
    <row r="49" spans="1:25" ht="15.7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2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</row>
    <row r="50" spans="1:25" ht="15.7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2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</row>
    <row r="51" spans="1:25" ht="15.7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2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</row>
    <row r="52" spans="1:25" ht="15.7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2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</row>
    <row r="53" spans="1:25" ht="15.7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2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</row>
    <row r="54" spans="1:25" ht="15.7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2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</row>
    <row r="55" spans="1:25" ht="15.7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2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 spans="1:25" ht="15.7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2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</row>
    <row r="57" spans="1:25" ht="15.7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2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</row>
    <row r="58" spans="1:25" ht="15.7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2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</row>
    <row r="59" spans="1:25" ht="15.7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2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</row>
    <row r="60" spans="1:25" ht="15.7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2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</row>
    <row r="61" spans="1:25" ht="15.7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2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</row>
    <row r="62" spans="1:25" ht="15.7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2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</row>
    <row r="63" spans="1:25" ht="15.7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2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</row>
    <row r="64" spans="1:25" ht="15.7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2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</row>
    <row r="65" spans="1:25" ht="15.7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2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</row>
    <row r="66" spans="1:25" ht="15.7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2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</row>
    <row r="67" spans="1:25" ht="15.7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2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</row>
    <row r="68" spans="1:25" ht="15.7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2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</row>
    <row r="69" spans="1:25" ht="15.7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2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</row>
    <row r="70" spans="1:25" ht="15.7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2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</row>
    <row r="71" spans="1:25" ht="15.7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2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</row>
    <row r="72" spans="1:25" ht="15.7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2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</row>
    <row r="73" spans="1:25" ht="15.7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2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</row>
    <row r="74" spans="1:25" ht="15.7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2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</row>
    <row r="75" spans="1:25" ht="15.7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2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</row>
    <row r="76" spans="1:25" ht="15.7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2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</row>
    <row r="77" spans="1:25" ht="15.7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2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</row>
    <row r="78" spans="1:25" ht="15.7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2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</row>
    <row r="79" spans="1:25" ht="15.7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2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</row>
    <row r="80" spans="1:25" ht="15.7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2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</row>
    <row r="81" spans="1:25" ht="15.7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2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</row>
    <row r="82" spans="1:25" ht="15.7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2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</row>
    <row r="83" spans="1:25" ht="15.7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2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</row>
    <row r="84" spans="1:25" ht="15.7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2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</row>
    <row r="85" spans="1:25" ht="15.7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2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</row>
    <row r="86" spans="1:25" ht="15.7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2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</row>
    <row r="87" spans="1:25" ht="15.7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2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</row>
    <row r="88" spans="1:25" ht="15.7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2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</row>
    <row r="89" spans="1:25" ht="15.7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2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</row>
    <row r="90" spans="1:25" ht="15.7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2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</row>
    <row r="91" spans="1:25" ht="15.7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2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</row>
    <row r="92" spans="1:25" ht="15.7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2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</row>
    <row r="93" spans="1:25" ht="15.7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2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</row>
    <row r="94" spans="1:25" ht="15.7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2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</row>
    <row r="95" spans="1:25" ht="15.7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2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</row>
    <row r="96" spans="1:25" ht="15.7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2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</row>
    <row r="97" spans="1:25" ht="15.7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2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</row>
    <row r="98" spans="1:25" ht="15.7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2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</row>
    <row r="99" spans="1:25" ht="15.7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2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</row>
    <row r="100" spans="1:25" ht="15.7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2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</row>
    <row r="101" spans="1:25" ht="15.7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2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</row>
    <row r="102" spans="1:25" ht="15.7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2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</row>
    <row r="103" spans="1:25" ht="15.7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2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</row>
    <row r="104" spans="1:25" ht="15.7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2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</row>
    <row r="105" spans="1:25" ht="15.7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2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</row>
    <row r="106" spans="1:25" ht="15.7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2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</row>
    <row r="107" spans="1:25" ht="15.7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2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</row>
    <row r="108" spans="1:25" ht="15.7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2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</row>
    <row r="109" spans="1:25" ht="15.7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2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</row>
    <row r="110" spans="1:25" ht="15.7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2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</row>
    <row r="111" spans="1:25" ht="15.7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2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</row>
    <row r="112" spans="1:25" ht="15.7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2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</row>
    <row r="113" spans="1:25" ht="15.7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2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</row>
    <row r="114" spans="1:25" ht="15.7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2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</row>
    <row r="115" spans="1:25" ht="15.7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2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</row>
    <row r="116" spans="1:25" ht="15.7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2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</row>
    <row r="117" spans="1:25" ht="15.7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2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</row>
    <row r="118" spans="1:25" ht="15.7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2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</row>
    <row r="119" spans="1:25" ht="15.7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2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</row>
    <row r="120" spans="1:25" ht="15.7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2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</row>
    <row r="121" spans="1:25" ht="15.7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2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</row>
    <row r="122" spans="1:25" ht="15.7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2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</row>
    <row r="123" spans="1:25" ht="15.7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2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</row>
    <row r="124" spans="1:25" ht="15.7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2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</row>
    <row r="125" spans="1:25" ht="15.7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2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</row>
    <row r="126" spans="1:25" ht="15.7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2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</row>
    <row r="127" spans="1:25" ht="15.7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2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</row>
    <row r="128" spans="1:25" ht="15.7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2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</row>
    <row r="129" spans="1:25" ht="15.7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2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</row>
    <row r="130" spans="1:25" ht="15.7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2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</row>
    <row r="131" spans="1:25" ht="15.7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2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</row>
    <row r="132" spans="1:25" ht="15.7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2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</row>
    <row r="133" spans="1:25" ht="15.7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2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</row>
    <row r="134" spans="1:25" ht="15.7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2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</row>
    <row r="135" spans="1:25" ht="15.7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2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</row>
    <row r="136" spans="1:25" ht="15.7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2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</row>
    <row r="137" spans="1:25" ht="15.7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2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</row>
    <row r="138" spans="1:25" ht="15.7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2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</row>
    <row r="139" spans="1:25" ht="15.7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2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</row>
    <row r="140" spans="1:25" ht="15.7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2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</row>
    <row r="141" spans="1:25" ht="15.7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2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</row>
    <row r="142" spans="1:25" ht="15.7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2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</row>
    <row r="143" spans="1:25" ht="15.7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2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</row>
    <row r="144" spans="1:25" ht="15.7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2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</row>
    <row r="145" spans="1:25" ht="15.7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2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</row>
    <row r="146" spans="1:25" ht="15.7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2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</row>
    <row r="147" spans="1:25" ht="15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2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</row>
    <row r="148" spans="1:25" ht="15.7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2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</row>
    <row r="149" spans="1:25" ht="15.7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2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</row>
    <row r="150" spans="1:25" ht="15.7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2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</row>
    <row r="151" spans="1:25" ht="15.7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2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</row>
    <row r="152" spans="1:25" ht="15.7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2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</row>
    <row r="153" spans="1:25" ht="15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2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</row>
    <row r="154" spans="1:25" ht="15.7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2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</row>
    <row r="155" spans="1:25" ht="15.7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2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</row>
    <row r="156" spans="1:25" ht="15.7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2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</row>
    <row r="157" spans="1:25" ht="15.7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2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</row>
    <row r="158" spans="1:25" ht="15.7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2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</row>
    <row r="159" spans="1:25" ht="15.7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2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</row>
    <row r="160" spans="1:25" ht="15.7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2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</row>
    <row r="161" spans="1:25" ht="15.7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2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</row>
    <row r="162" spans="1:25" ht="15.7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2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</row>
    <row r="163" spans="1:25" ht="15.7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2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</row>
    <row r="164" spans="1:25" ht="15.7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2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</row>
    <row r="165" spans="1:25" ht="15.7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2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</row>
    <row r="166" spans="1:25" ht="15.7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2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</row>
    <row r="167" spans="1:25" ht="15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2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</row>
    <row r="168" spans="1:25" ht="15.7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2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</row>
    <row r="169" spans="1:25" ht="15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2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</row>
    <row r="170" spans="1:25" ht="15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2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</row>
    <row r="171" spans="1:25" ht="15.7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2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</row>
    <row r="172" spans="1:25" ht="15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2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</row>
    <row r="173" spans="1:25" ht="15.7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2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</row>
    <row r="174" spans="1:25" ht="15.7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2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</row>
    <row r="175" spans="1:25" ht="15.7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2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</row>
    <row r="176" spans="1:25" ht="15.7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2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</row>
    <row r="177" spans="1:25" ht="15.7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2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</row>
    <row r="178" spans="1:25" ht="15.7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2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</row>
    <row r="179" spans="1:25" ht="15.7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2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</row>
    <row r="180" spans="1:25" ht="15.7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2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</row>
    <row r="181" spans="1:25" ht="15.7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2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</row>
    <row r="182" spans="1:25" ht="15.7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2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</row>
    <row r="183" spans="1:25" ht="15.7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2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</row>
    <row r="184" spans="1:25" ht="15.7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2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</row>
    <row r="185" spans="1:25" ht="15.7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2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</row>
    <row r="186" spans="1:25" ht="15.7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2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</row>
    <row r="187" spans="1:25" ht="15.7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2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</row>
    <row r="188" spans="1:25" ht="15.7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2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</row>
    <row r="189" spans="1:25" ht="15.7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2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</row>
    <row r="190" spans="1:25" ht="15.7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2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</row>
    <row r="191" spans="1:25" ht="15.7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2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</row>
    <row r="192" spans="1:25" ht="15.7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2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</row>
    <row r="193" spans="1:25" ht="15.7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2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</row>
    <row r="194" spans="1:25" ht="15.7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2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</row>
    <row r="195" spans="1:25" ht="15.7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2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</row>
    <row r="196" spans="1:25" ht="15.7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2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</row>
    <row r="197" spans="1:25" ht="15.7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2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</row>
    <row r="198" spans="1:25" ht="15.7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2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</row>
    <row r="199" spans="1:25" ht="15.7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2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</row>
    <row r="200" spans="1:25" ht="15.7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2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</row>
    <row r="201" spans="1:25" ht="15.7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2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</row>
    <row r="202" spans="1:25" ht="15.7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2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</row>
    <row r="203" spans="1:25" ht="15.7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2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</row>
    <row r="204" spans="1:25" ht="15.7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2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</row>
    <row r="205" spans="1:25" ht="15.7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2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</row>
    <row r="206" spans="1:25" ht="15.7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2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</row>
    <row r="207" spans="1:25" ht="15.7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2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</row>
    <row r="208" spans="1:25" ht="15.7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2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</row>
    <row r="209" spans="1:25" ht="15.7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2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</row>
    <row r="210" spans="1:25" ht="15.7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2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</row>
    <row r="211" spans="1:25" ht="15.7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2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</row>
    <row r="212" spans="1:25" ht="15.7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2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</row>
    <row r="213" spans="1:25" ht="15.7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2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</row>
    <row r="214" spans="1:25" ht="15.7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2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</row>
    <row r="215" spans="1:25" ht="15.7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2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</row>
    <row r="216" spans="1:25" ht="15.7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2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</row>
    <row r="217" spans="1:25" ht="15.7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2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</row>
    <row r="218" spans="1:25" ht="15.7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2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</row>
    <row r="219" spans="1:25" ht="15.7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2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</row>
    <row r="220" spans="1:25" ht="15.7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2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</row>
    <row r="221" spans="1:25" ht="15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2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</row>
    <row r="222" spans="1:25" ht="15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2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</row>
    <row r="223" spans="1:25" ht="15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2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</row>
    <row r="224" spans="1:25" ht="15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2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</row>
    <row r="225" spans="1:25" ht="15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2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</row>
    <row r="226" spans="1:25" ht="15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2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</row>
    <row r="227" spans="1:25" ht="15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2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</row>
    <row r="228" spans="1:25" ht="15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2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</row>
    <row r="229" spans="1:25" ht="15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2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</row>
    <row r="230" spans="1:25" ht="15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2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</row>
    <row r="231" spans="1:25" ht="15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2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</row>
    <row r="232" spans="1:25" ht="15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2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</row>
    <row r="233" spans="1:25" ht="15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2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</row>
    <row r="234" spans="1:25" ht="15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2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</row>
    <row r="235" spans="1:25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2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</row>
    <row r="236" spans="1:25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2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</row>
    <row r="237" spans="1:25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2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</row>
    <row r="238" spans="1:25" ht="15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2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</row>
    <row r="239" spans="1:25" ht="15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2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</row>
    <row r="240" spans="1:25" ht="15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2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</row>
    <row r="241" spans="1:25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2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</row>
    <row r="242" spans="1:25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2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</row>
    <row r="243" spans="1:25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2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</row>
    <row r="244" spans="1:25" ht="15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2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</row>
    <row r="245" spans="1:25" ht="15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2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</row>
    <row r="246" spans="1:25" ht="15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2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</row>
    <row r="247" spans="1:25" ht="15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2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</row>
    <row r="248" spans="1:25" ht="15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2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</row>
    <row r="249" spans="1:25" ht="15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2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</row>
    <row r="250" spans="1:25" ht="15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2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</row>
    <row r="251" spans="1:25" ht="15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2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</row>
    <row r="252" spans="1:25" ht="15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2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</row>
    <row r="253" spans="1:25" ht="15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2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</row>
    <row r="254" spans="1:25" ht="15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2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</row>
    <row r="255" spans="1:25" ht="15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2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</row>
    <row r="256" spans="1:25" ht="15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2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</row>
    <row r="257" spans="1:25" ht="15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2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</row>
    <row r="258" spans="1:25" ht="15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2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</row>
    <row r="259" spans="1:25" ht="15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2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</row>
    <row r="260" spans="1:25" ht="15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2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</row>
    <row r="261" spans="1:25" ht="15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2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</row>
    <row r="262" spans="1:25" ht="15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2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</row>
    <row r="263" spans="1:25" ht="15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2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</row>
    <row r="264" spans="1:25" ht="15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2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</row>
    <row r="265" spans="1:25" ht="15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2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</row>
    <row r="266" spans="1:25" ht="15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2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</row>
    <row r="267" spans="1:25" ht="15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2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</row>
    <row r="268" spans="1:25" ht="15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2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</row>
    <row r="269" spans="1:25" ht="15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2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</row>
    <row r="270" spans="1:25" ht="15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2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</row>
    <row r="271" spans="1:25" ht="15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2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</row>
    <row r="272" spans="1:25" ht="15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2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</row>
    <row r="273" spans="1:25" ht="15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2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</row>
    <row r="274" spans="1:25" ht="15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2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</row>
    <row r="275" spans="1:25" ht="15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2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</row>
    <row r="276" spans="1:25" ht="15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2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</row>
    <row r="277" spans="1:25" ht="15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2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</row>
    <row r="278" spans="1:25" ht="15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2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</row>
    <row r="279" spans="1:25" ht="15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2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</row>
    <row r="280" spans="1:25" ht="15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2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</row>
    <row r="281" spans="1:25" ht="15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2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</row>
    <row r="282" spans="1:25" ht="15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2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</row>
    <row r="283" spans="1:25" ht="15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2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</row>
    <row r="284" spans="1:25" ht="15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2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</row>
    <row r="285" spans="1:25" ht="15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2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</row>
    <row r="286" spans="1:25" ht="15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2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</row>
    <row r="287" spans="1:25" ht="15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2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</row>
    <row r="288" spans="1:25" ht="15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2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</row>
    <row r="289" spans="1:25" ht="15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2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</row>
    <row r="290" spans="1:25" ht="15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2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</row>
    <row r="291" spans="1:25" ht="15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2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</row>
    <row r="292" spans="1:25" ht="15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2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</row>
    <row r="293" spans="1:25" ht="15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2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</row>
    <row r="294" spans="1:25" ht="15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2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</row>
    <row r="295" spans="1:25" ht="15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2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</row>
    <row r="296" spans="1:25" ht="15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2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</row>
    <row r="297" spans="1:25" ht="15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2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</row>
    <row r="298" spans="1:25" ht="15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2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</row>
    <row r="299" spans="1:25" ht="15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2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</row>
    <row r="300" spans="1:25" ht="15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2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</row>
    <row r="301" spans="1:25" ht="15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2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</row>
    <row r="302" spans="1:25" ht="15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2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</row>
    <row r="303" spans="1:25" ht="15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2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</row>
    <row r="304" spans="1:25" ht="15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2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</row>
    <row r="305" spans="1:25" ht="15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2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</row>
    <row r="306" spans="1:25" ht="15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2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</row>
    <row r="307" spans="1:25" ht="15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2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</row>
    <row r="308" spans="1:25" ht="15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2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</row>
    <row r="309" spans="1:25" ht="15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2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</row>
    <row r="310" spans="1:25" ht="15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2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</row>
    <row r="311" spans="1:25" ht="15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2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</row>
    <row r="312" spans="1:25" ht="15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2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</row>
    <row r="313" spans="1:25" ht="15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2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</row>
    <row r="314" spans="1:25" ht="15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2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</row>
    <row r="315" spans="1:25" ht="15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2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</row>
    <row r="316" spans="1:25" ht="15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2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</row>
    <row r="317" spans="1:25" ht="15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2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</row>
    <row r="318" spans="1:25" ht="15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2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</row>
    <row r="319" spans="1:25" ht="15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2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</row>
    <row r="320" spans="1:25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2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</row>
    <row r="321" spans="1:25" ht="15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2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</row>
    <row r="322" spans="1:25" ht="15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2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</row>
    <row r="323" spans="1:25" ht="15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2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</row>
    <row r="324" spans="1:25" ht="15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2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</row>
    <row r="325" spans="1:25" ht="15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2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</row>
    <row r="326" spans="1:25" ht="15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2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</row>
    <row r="327" spans="1:25" ht="15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2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</row>
    <row r="328" spans="1:25" ht="15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2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</row>
    <row r="329" spans="1:25" ht="15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2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</row>
    <row r="330" spans="1:25" ht="15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2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</row>
    <row r="331" spans="1:25" ht="15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2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</row>
    <row r="332" spans="1:25" ht="15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2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</row>
    <row r="333" spans="1:25" ht="15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2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</row>
    <row r="334" spans="1:25" ht="15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2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</row>
    <row r="335" spans="1:25" ht="15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2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</row>
    <row r="336" spans="1:25" ht="15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2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</row>
    <row r="337" spans="1:25" ht="15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2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</row>
    <row r="338" spans="1:25" ht="15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2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</row>
    <row r="339" spans="1:25" ht="15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2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</row>
    <row r="340" spans="1:25" ht="15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2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</row>
    <row r="341" spans="1:25" ht="15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2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</row>
    <row r="342" spans="1:25" ht="15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2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</row>
    <row r="343" spans="1:25" ht="15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2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</row>
    <row r="344" spans="1:25" ht="15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2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</row>
    <row r="345" spans="1:25" ht="15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2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</row>
    <row r="346" spans="1:25" ht="15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2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</row>
    <row r="347" spans="1:25" ht="15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2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</row>
    <row r="348" spans="1:25" ht="15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2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</row>
    <row r="349" spans="1:25" ht="15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2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</row>
    <row r="350" spans="1:25" ht="15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2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</row>
    <row r="351" spans="1:25" ht="15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2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</row>
    <row r="352" spans="1:25" ht="15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2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</row>
    <row r="353" spans="1:25" ht="15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2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</row>
    <row r="354" spans="1:25" ht="15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2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</row>
    <row r="355" spans="1:25" ht="15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2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</row>
    <row r="356" spans="1:25" ht="15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2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</row>
    <row r="357" spans="1:25" ht="15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2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</row>
    <row r="358" spans="1:25" ht="15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2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</row>
    <row r="359" spans="1:25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2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</row>
    <row r="360" spans="1:25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2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</row>
    <row r="361" spans="1:25" ht="15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2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</row>
    <row r="362" spans="1:25" ht="15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2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</row>
    <row r="363" spans="1:25" ht="15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2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</row>
    <row r="364" spans="1:25" ht="15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2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</row>
    <row r="365" spans="1:25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2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</row>
    <row r="366" spans="1:25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2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</row>
    <row r="367" spans="1:25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2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</row>
    <row r="368" spans="1:25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2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</row>
    <row r="369" spans="1:25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2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</row>
    <row r="370" spans="1:25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2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</row>
    <row r="371" spans="1:25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2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</row>
    <row r="372" spans="1:25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2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</row>
    <row r="373" spans="1:25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2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</row>
    <row r="374" spans="1:25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2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</row>
    <row r="375" spans="1:25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2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</row>
    <row r="376" spans="1:25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2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</row>
    <row r="377" spans="1:25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2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</row>
    <row r="378" spans="1:25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2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</row>
    <row r="379" spans="1:25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2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</row>
    <row r="380" spans="1:25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2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</row>
    <row r="381" spans="1:25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2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</row>
    <row r="382" spans="1:25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2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</row>
    <row r="383" spans="1:25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2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</row>
    <row r="384" spans="1:25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2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</row>
    <row r="385" spans="1:25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2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</row>
    <row r="386" spans="1:25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2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</row>
    <row r="387" spans="1:25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2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</row>
    <row r="388" spans="1:25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2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</row>
    <row r="389" spans="1:25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2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</row>
    <row r="390" spans="1:25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2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</row>
    <row r="391" spans="1:25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2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</row>
    <row r="392" spans="1:25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2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</row>
    <row r="393" spans="1:25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2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</row>
    <row r="394" spans="1:25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2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</row>
    <row r="395" spans="1:25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2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</row>
    <row r="396" spans="1:25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2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</row>
    <row r="397" spans="1:25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2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</row>
    <row r="398" spans="1:25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2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</row>
    <row r="399" spans="1:25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2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</row>
    <row r="400" spans="1:25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2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</row>
    <row r="401" spans="1:25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2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</row>
    <row r="402" spans="1:25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2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</row>
    <row r="403" spans="1:25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2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</row>
    <row r="404" spans="1:25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2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</row>
    <row r="405" spans="1:25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2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</row>
    <row r="406" spans="1:25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2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</row>
    <row r="407" spans="1:25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2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</row>
    <row r="408" spans="1:25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2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</row>
    <row r="409" spans="1:25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2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</row>
    <row r="410" spans="1:25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2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</row>
    <row r="411" spans="1:25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2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</row>
    <row r="412" spans="1:25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2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</row>
    <row r="413" spans="1:25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2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</row>
    <row r="414" spans="1:25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2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</row>
    <row r="415" spans="1:25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2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</row>
    <row r="416" spans="1:25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2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</row>
    <row r="417" spans="1:25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2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</row>
    <row r="418" spans="1:25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2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</row>
    <row r="419" spans="1:25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2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</row>
    <row r="420" spans="1:25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2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</row>
    <row r="421" spans="1:25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2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</row>
    <row r="422" spans="1:25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2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</row>
    <row r="423" spans="1:25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2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</row>
    <row r="424" spans="1:25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2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</row>
    <row r="425" spans="1:25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2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</row>
    <row r="426" spans="1:25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2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</row>
    <row r="427" spans="1:25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2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</row>
    <row r="428" spans="1:25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2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</row>
    <row r="429" spans="1:25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2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</row>
    <row r="430" spans="1:25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2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</row>
    <row r="431" spans="1:25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2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</row>
    <row r="432" spans="1:25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2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</row>
    <row r="433" spans="1:25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2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</row>
    <row r="434" spans="1:25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2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</row>
    <row r="435" spans="1:25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2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</row>
    <row r="436" spans="1:25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2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</row>
    <row r="437" spans="1:25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2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</row>
    <row r="438" spans="1:25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2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</row>
    <row r="439" spans="1:25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2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</row>
    <row r="440" spans="1:25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2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</row>
    <row r="441" spans="1:25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2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</row>
    <row r="442" spans="1:25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2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</row>
    <row r="443" spans="1:25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2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</row>
    <row r="444" spans="1:25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2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</row>
    <row r="445" spans="1:25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2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</row>
    <row r="446" spans="1:25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2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</row>
    <row r="447" spans="1:25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2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</row>
    <row r="448" spans="1:25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2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</row>
    <row r="449" spans="1:25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2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</row>
    <row r="450" spans="1:25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2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</row>
    <row r="451" spans="1:25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2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</row>
    <row r="452" spans="1:25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2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</row>
    <row r="453" spans="1:25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2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</row>
    <row r="454" spans="1:25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2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</row>
    <row r="455" spans="1:25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2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</row>
    <row r="456" spans="1:25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2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</row>
    <row r="457" spans="1:25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2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</row>
    <row r="458" spans="1:25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2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</row>
    <row r="459" spans="1:25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2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</row>
    <row r="460" spans="1:25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2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</row>
    <row r="461" spans="1:25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2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</row>
    <row r="462" spans="1:25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2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</row>
    <row r="463" spans="1:25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2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</row>
    <row r="464" spans="1:25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2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</row>
    <row r="465" spans="1:25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2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</row>
    <row r="466" spans="1:25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2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</row>
    <row r="467" spans="1:25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2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</row>
    <row r="468" spans="1:25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2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</row>
    <row r="469" spans="1:25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2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</row>
    <row r="470" spans="1:25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2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</row>
    <row r="471" spans="1:25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2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</row>
    <row r="472" spans="1:25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2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</row>
    <row r="473" spans="1:25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2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</row>
    <row r="474" spans="1:25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2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</row>
    <row r="475" spans="1:25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2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</row>
    <row r="476" spans="1:25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2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</row>
    <row r="477" spans="1:25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2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</row>
    <row r="478" spans="1:25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2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</row>
    <row r="479" spans="1:25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2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</row>
    <row r="480" spans="1:25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2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</row>
    <row r="481" spans="1:25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2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</row>
    <row r="482" spans="1:25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2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</row>
    <row r="483" spans="1:25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2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</row>
    <row r="484" spans="1:25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2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</row>
    <row r="485" spans="1:25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2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</row>
    <row r="486" spans="1:25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2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</row>
    <row r="487" spans="1:25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2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</row>
    <row r="488" spans="1:25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2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</row>
    <row r="489" spans="1:25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2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</row>
    <row r="490" spans="1:25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2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</row>
    <row r="491" spans="1:25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2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</row>
    <row r="492" spans="1:25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2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</row>
    <row r="493" spans="1:25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2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</row>
    <row r="494" spans="1:25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2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</row>
    <row r="495" spans="1:25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2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</row>
    <row r="496" spans="1:25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2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</row>
    <row r="497" spans="1:25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2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</row>
    <row r="498" spans="1:25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2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</row>
    <row r="499" spans="1:25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2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</row>
    <row r="500" spans="1:25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2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</row>
    <row r="501" spans="1:25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2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</row>
    <row r="502" spans="1:25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2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</row>
    <row r="503" spans="1:25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2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</row>
    <row r="504" spans="1:25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2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</row>
    <row r="505" spans="1:25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2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</row>
    <row r="506" spans="1:25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2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</row>
    <row r="507" spans="1:25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2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</row>
    <row r="508" spans="1:25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2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</row>
    <row r="509" spans="1:25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2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</row>
    <row r="510" spans="1:25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2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</row>
    <row r="511" spans="1:25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2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</row>
    <row r="512" spans="1:25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2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</row>
    <row r="513" spans="1:25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2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</row>
    <row r="514" spans="1:25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2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</row>
    <row r="515" spans="1:25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2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</row>
    <row r="516" spans="1:25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2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</row>
    <row r="517" spans="1:25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2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</row>
    <row r="518" spans="1:25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2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</row>
    <row r="519" spans="1:25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2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</row>
    <row r="520" spans="1:25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2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</row>
    <row r="521" spans="1:25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2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</row>
    <row r="522" spans="1:25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2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</row>
    <row r="523" spans="1:25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2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</row>
    <row r="524" spans="1:25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2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</row>
    <row r="525" spans="1:25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2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</row>
    <row r="526" spans="1:25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2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</row>
    <row r="527" spans="1:25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2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</row>
    <row r="528" spans="1:25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2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</row>
    <row r="529" spans="1:25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2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</row>
    <row r="530" spans="1:25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2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</row>
    <row r="531" spans="1:25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2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</row>
    <row r="532" spans="1:25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2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</row>
    <row r="533" spans="1:25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2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</row>
    <row r="534" spans="1:25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2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</row>
    <row r="535" spans="1:25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2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</row>
    <row r="536" spans="1:25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2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</row>
    <row r="537" spans="1:25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2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</row>
    <row r="538" spans="1:25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2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</row>
    <row r="539" spans="1:25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2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</row>
    <row r="540" spans="1:25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2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</row>
    <row r="541" spans="1:25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2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</row>
    <row r="542" spans="1:25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2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</row>
    <row r="543" spans="1:25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2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</row>
    <row r="544" spans="1:25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2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</row>
    <row r="545" spans="1:25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2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</row>
    <row r="546" spans="1:25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2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</row>
    <row r="547" spans="1:25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2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</row>
    <row r="548" spans="1:25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2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</row>
    <row r="549" spans="1:25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2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</row>
    <row r="550" spans="1:25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2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</row>
    <row r="551" spans="1:25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2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</row>
    <row r="552" spans="1:25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2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</row>
    <row r="553" spans="1:25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2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</row>
    <row r="554" spans="1:25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2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</row>
    <row r="555" spans="1:25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2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</row>
    <row r="556" spans="1:25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2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</row>
    <row r="557" spans="1:25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2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</row>
    <row r="558" spans="1:25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2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</row>
    <row r="559" spans="1:25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2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</row>
    <row r="560" spans="1:25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2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</row>
    <row r="561" spans="1:25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2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</row>
    <row r="562" spans="1:25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2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</row>
    <row r="563" spans="1:25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2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</row>
    <row r="564" spans="1:25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2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</row>
    <row r="565" spans="1:25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2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</row>
    <row r="566" spans="1:25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2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</row>
    <row r="567" spans="1:25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2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</row>
    <row r="568" spans="1:25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2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</row>
    <row r="569" spans="1:25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2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</row>
    <row r="570" spans="1:25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2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</row>
    <row r="571" spans="1:25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2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</row>
    <row r="572" spans="1:25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2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</row>
    <row r="573" spans="1:25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2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</row>
    <row r="574" spans="1:25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2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</row>
    <row r="575" spans="1:25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2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</row>
    <row r="576" spans="1:25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2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</row>
    <row r="577" spans="1:25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2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</row>
    <row r="578" spans="1:25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2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</row>
    <row r="579" spans="1:25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2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</row>
    <row r="580" spans="1:25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2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</row>
    <row r="581" spans="1:25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2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</row>
    <row r="582" spans="1:25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2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</row>
    <row r="583" spans="1:25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2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</row>
    <row r="584" spans="1:25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2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</row>
    <row r="585" spans="1:25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2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</row>
    <row r="586" spans="1:25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2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</row>
    <row r="587" spans="1:25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2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</row>
    <row r="588" spans="1:25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2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</row>
    <row r="589" spans="1:25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2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</row>
    <row r="590" spans="1:25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2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</row>
    <row r="591" spans="1:25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2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</row>
    <row r="592" spans="1:25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2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</row>
    <row r="593" spans="1:25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2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</row>
    <row r="594" spans="1:25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2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</row>
    <row r="595" spans="1:25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2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</row>
    <row r="596" spans="1:25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2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</row>
    <row r="597" spans="1:25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2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</row>
    <row r="598" spans="1:25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2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</row>
    <row r="599" spans="1:25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2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</row>
    <row r="600" spans="1:25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2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</row>
    <row r="601" spans="1:25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2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</row>
    <row r="602" spans="1:25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2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</row>
    <row r="603" spans="1:25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2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</row>
    <row r="604" spans="1:25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2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</row>
    <row r="605" spans="1:25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2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</row>
    <row r="606" spans="1:25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2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</row>
    <row r="607" spans="1:25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2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</row>
    <row r="608" spans="1:25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2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</row>
    <row r="609" spans="1:25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2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</row>
    <row r="610" spans="1:25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2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</row>
    <row r="611" spans="1:25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2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</row>
    <row r="612" spans="1:25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2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</row>
    <row r="613" spans="1:25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2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</row>
    <row r="614" spans="1:25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2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</row>
    <row r="615" spans="1:25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2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</row>
    <row r="616" spans="1:25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2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</row>
    <row r="617" spans="1:25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2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</row>
    <row r="618" spans="1:25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2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</row>
    <row r="619" spans="1:25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2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</row>
    <row r="620" spans="1:25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2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</row>
    <row r="621" spans="1:25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2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</row>
    <row r="622" spans="1:25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2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</row>
    <row r="623" spans="1:25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2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</row>
    <row r="624" spans="1:25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2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</row>
    <row r="625" spans="1:25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2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</row>
    <row r="626" spans="1:25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2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</row>
    <row r="627" spans="1:25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2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</row>
    <row r="628" spans="1:25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2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</row>
    <row r="629" spans="1:25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2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</row>
    <row r="630" spans="1:25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2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</row>
    <row r="631" spans="1:25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2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</row>
    <row r="632" spans="1:25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2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</row>
    <row r="633" spans="1:25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2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</row>
    <row r="634" spans="1:25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2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</row>
    <row r="635" spans="1:25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2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</row>
    <row r="636" spans="1:25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2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</row>
    <row r="637" spans="1:25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2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</row>
    <row r="638" spans="1:25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2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</row>
    <row r="639" spans="1:25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2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</row>
    <row r="640" spans="1:25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2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</row>
    <row r="641" spans="1:25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2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</row>
    <row r="642" spans="1:25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2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</row>
    <row r="643" spans="1:25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2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</row>
    <row r="644" spans="1:25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2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</row>
    <row r="645" spans="1:25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2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</row>
    <row r="646" spans="1:25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2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</row>
    <row r="647" spans="1:25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2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</row>
    <row r="648" spans="1:25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2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</row>
    <row r="649" spans="1:25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2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</row>
    <row r="650" spans="1:25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2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</row>
    <row r="651" spans="1:25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2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</row>
    <row r="652" spans="1:25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2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</row>
    <row r="653" spans="1:25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2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</row>
    <row r="654" spans="1:25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2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</row>
    <row r="655" spans="1:25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2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</row>
    <row r="656" spans="1:25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2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</row>
    <row r="657" spans="1:25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2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</row>
    <row r="658" spans="1:25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2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</row>
    <row r="659" spans="1:25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2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</row>
    <row r="660" spans="1:25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2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</row>
    <row r="661" spans="1:25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2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</row>
    <row r="662" spans="1:25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2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</row>
    <row r="663" spans="1:25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2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</row>
    <row r="664" spans="1:25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2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</row>
    <row r="665" spans="1:25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2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</row>
    <row r="666" spans="1:25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2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</row>
    <row r="667" spans="1:25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2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</row>
    <row r="668" spans="1:25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2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</row>
    <row r="669" spans="1:25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2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</row>
    <row r="670" spans="1:25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2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</row>
    <row r="671" spans="1:25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2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</row>
    <row r="672" spans="1:25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2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</row>
    <row r="673" spans="1:25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2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</row>
    <row r="674" spans="1:25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2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</row>
    <row r="675" spans="1:25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2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</row>
    <row r="676" spans="1:25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2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</row>
    <row r="677" spans="1:25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2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</row>
    <row r="678" spans="1:25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2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</row>
    <row r="679" spans="1:25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2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</row>
    <row r="680" spans="1:25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2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</row>
    <row r="681" spans="1:25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2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</row>
    <row r="682" spans="1:25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2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</row>
    <row r="683" spans="1:25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2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</row>
    <row r="684" spans="1:25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2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</row>
    <row r="685" spans="1:25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2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</row>
    <row r="686" spans="1:25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2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</row>
    <row r="687" spans="1:25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2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</row>
    <row r="688" spans="1:25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2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</row>
    <row r="689" spans="1:25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2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</row>
    <row r="690" spans="1:25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2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</row>
    <row r="691" spans="1:25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2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</row>
    <row r="692" spans="1:25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2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</row>
    <row r="693" spans="1:25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2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</row>
    <row r="694" spans="1:25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2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</row>
    <row r="695" spans="1:25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2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</row>
    <row r="696" spans="1:25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2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</row>
    <row r="697" spans="1:25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2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</row>
    <row r="698" spans="1:25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2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</row>
    <row r="699" spans="1:25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2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</row>
    <row r="700" spans="1:25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2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</row>
    <row r="701" spans="1:25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2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</row>
    <row r="702" spans="1:25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2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</row>
    <row r="703" spans="1:25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2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</row>
    <row r="704" spans="1:25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2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</row>
    <row r="705" spans="1:25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2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</row>
    <row r="706" spans="1:25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2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</row>
    <row r="707" spans="1:25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2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</row>
    <row r="708" spans="1:25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2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</row>
    <row r="709" spans="1:25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2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</row>
    <row r="710" spans="1:25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2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</row>
    <row r="711" spans="1:25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2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</row>
    <row r="712" spans="1:25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2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</row>
    <row r="713" spans="1:25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2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</row>
    <row r="714" spans="1:25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2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</row>
    <row r="715" spans="1:25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2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</row>
    <row r="716" spans="1:25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2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</row>
    <row r="717" spans="1:25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2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</row>
    <row r="718" spans="1:25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2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</row>
    <row r="719" spans="1:25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2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</row>
    <row r="720" spans="1:25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2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</row>
    <row r="721" spans="1:25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2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</row>
    <row r="722" spans="1:25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2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</row>
    <row r="723" spans="1:25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2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</row>
    <row r="724" spans="1:25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2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</row>
    <row r="725" spans="1:25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2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</row>
    <row r="726" spans="1:25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2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</row>
    <row r="727" spans="1:25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2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</row>
    <row r="728" spans="1:25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2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</row>
    <row r="729" spans="1:25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2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</row>
    <row r="730" spans="1:25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2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</row>
    <row r="731" spans="1:25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2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</row>
    <row r="732" spans="1:25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2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</row>
    <row r="733" spans="1:25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2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</row>
    <row r="734" spans="1:25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2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</row>
    <row r="735" spans="1:25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2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</row>
    <row r="736" spans="1:25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2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</row>
    <row r="737" spans="1:25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2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</row>
    <row r="738" spans="1:25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2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</row>
    <row r="739" spans="1:25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2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</row>
    <row r="740" spans="1:25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2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</row>
    <row r="741" spans="1:25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2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</row>
    <row r="742" spans="1:25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2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</row>
    <row r="743" spans="1:25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2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</row>
    <row r="744" spans="1:25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2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</row>
    <row r="745" spans="1:25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2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</row>
    <row r="746" spans="1:25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2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</row>
    <row r="747" spans="1:25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2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</row>
    <row r="748" spans="1:25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2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</row>
    <row r="749" spans="1:25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2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</row>
    <row r="750" spans="1:25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2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</row>
    <row r="751" spans="1:25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2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</row>
    <row r="752" spans="1:25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2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</row>
    <row r="753" spans="1:25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2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</row>
    <row r="754" spans="1:25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2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</row>
    <row r="755" spans="1:25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2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</row>
    <row r="756" spans="1:25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2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</row>
    <row r="757" spans="1:25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2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</row>
    <row r="758" spans="1:25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2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</row>
    <row r="759" spans="1:25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2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</row>
    <row r="760" spans="1:25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2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</row>
    <row r="761" spans="1:25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2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</row>
    <row r="762" spans="1:25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2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</row>
    <row r="763" spans="1:25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2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</row>
    <row r="764" spans="1:25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2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</row>
    <row r="765" spans="1:25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2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</row>
    <row r="766" spans="1:25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2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</row>
    <row r="767" spans="1:25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2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</row>
    <row r="768" spans="1:25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2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</row>
    <row r="769" spans="1:25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2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</row>
    <row r="770" spans="1:25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2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</row>
    <row r="771" spans="1:25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2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</row>
    <row r="772" spans="1:25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2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</row>
    <row r="773" spans="1:25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2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</row>
    <row r="774" spans="1:25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2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</row>
    <row r="775" spans="1:25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2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</row>
    <row r="776" spans="1:25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2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</row>
    <row r="777" spans="1:25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2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</row>
    <row r="778" spans="1:25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2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</row>
    <row r="779" spans="1:25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2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</row>
    <row r="780" spans="1:25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2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</row>
    <row r="781" spans="1:25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2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</row>
    <row r="782" spans="1:25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2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</row>
    <row r="783" spans="1:25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2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</row>
    <row r="784" spans="1:25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2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</row>
    <row r="785" spans="1:25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2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</row>
    <row r="786" spans="1:25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2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</row>
    <row r="787" spans="1:25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2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</row>
    <row r="788" spans="1:25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2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</row>
    <row r="789" spans="1:25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2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</row>
    <row r="790" spans="1:25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2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</row>
    <row r="791" spans="1:25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2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</row>
    <row r="792" spans="1:25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2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</row>
    <row r="793" spans="1:25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2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</row>
    <row r="794" spans="1:25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2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</row>
    <row r="795" spans="1:25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2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</row>
    <row r="796" spans="1:25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2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</row>
    <row r="797" spans="1:25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2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</row>
    <row r="798" spans="1:25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2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</row>
    <row r="799" spans="1:25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2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</row>
    <row r="800" spans="1:25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2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</row>
    <row r="801" spans="1:25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2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</row>
    <row r="802" spans="1:25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2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</row>
    <row r="803" spans="1:25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2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</row>
    <row r="804" spans="1:25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2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</row>
    <row r="805" spans="1:25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2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</row>
    <row r="806" spans="1:25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2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</row>
    <row r="807" spans="1:25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2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</row>
    <row r="808" spans="1:25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2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</row>
    <row r="809" spans="1:25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2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</row>
    <row r="810" spans="1:25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2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</row>
    <row r="811" spans="1:25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2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</row>
    <row r="812" spans="1:25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2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</row>
    <row r="813" spans="1:25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2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</row>
    <row r="814" spans="1:25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2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</row>
    <row r="815" spans="1:25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2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</row>
    <row r="816" spans="1:25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2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</row>
    <row r="817" spans="1:25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2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</row>
    <row r="818" spans="1:25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2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</row>
    <row r="819" spans="1:25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2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</row>
    <row r="820" spans="1:25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2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</row>
    <row r="821" spans="1:25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2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</row>
    <row r="822" spans="1:25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2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</row>
    <row r="823" spans="1:25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2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</row>
    <row r="824" spans="1:25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2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</row>
    <row r="825" spans="1:25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2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</row>
    <row r="826" spans="1:25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2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</row>
    <row r="827" spans="1:25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2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</row>
    <row r="828" spans="1:25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2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</row>
    <row r="829" spans="1:25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2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</row>
    <row r="830" spans="1:25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2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</row>
    <row r="831" spans="1:25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2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</row>
    <row r="832" spans="1:25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2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</row>
    <row r="833" spans="1:25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2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</row>
    <row r="834" spans="1:25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2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</row>
    <row r="835" spans="1:25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2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</row>
    <row r="836" spans="1:25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2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</row>
    <row r="837" spans="1:25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2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</row>
    <row r="838" spans="1:25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2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</row>
    <row r="839" spans="1:25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2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</row>
    <row r="840" spans="1:25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2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</row>
    <row r="841" spans="1:25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2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</row>
    <row r="842" spans="1:25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2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</row>
    <row r="843" spans="1:25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2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</row>
    <row r="844" spans="1:25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2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</row>
    <row r="845" spans="1:25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2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</row>
    <row r="846" spans="1:25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2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</row>
    <row r="847" spans="1:25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2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</row>
    <row r="848" spans="1:25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2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</row>
    <row r="849" spans="1:25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2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</row>
    <row r="850" spans="1:25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2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</row>
    <row r="851" spans="1:25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2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</row>
    <row r="852" spans="1:25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2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</row>
    <row r="853" spans="1:25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2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</row>
    <row r="854" spans="1:25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2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</row>
    <row r="855" spans="1:25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2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</row>
    <row r="856" spans="1:25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2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</row>
    <row r="857" spans="1:25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2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</row>
    <row r="858" spans="1:25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2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</row>
    <row r="859" spans="1:25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2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</row>
    <row r="860" spans="1:25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2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</row>
    <row r="861" spans="1:25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2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</row>
    <row r="862" spans="1:25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2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</row>
    <row r="863" spans="1:25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2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</row>
    <row r="864" spans="1:25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2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</row>
    <row r="865" spans="1:25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2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</row>
    <row r="866" spans="1:25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2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</row>
    <row r="867" spans="1:25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2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</row>
    <row r="868" spans="1:25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2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</row>
    <row r="869" spans="1:25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2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</row>
    <row r="870" spans="1:25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2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</row>
    <row r="871" spans="1:25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2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</row>
    <row r="872" spans="1:25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2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</row>
    <row r="873" spans="1:25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2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</row>
    <row r="874" spans="1:25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2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</row>
    <row r="875" spans="1:25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2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</row>
    <row r="876" spans="1:25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2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</row>
    <row r="877" spans="1:25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2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</row>
    <row r="878" spans="1:25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2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</row>
    <row r="879" spans="1:25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2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</row>
    <row r="880" spans="1:25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2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</row>
    <row r="881" spans="1:25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2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</row>
    <row r="882" spans="1:25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2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</row>
    <row r="883" spans="1:25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2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</row>
    <row r="884" spans="1:25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2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</row>
    <row r="885" spans="1:25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2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</row>
    <row r="886" spans="1:25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2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</row>
    <row r="887" spans="1:25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2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</row>
    <row r="888" spans="1:25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2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</row>
    <row r="889" spans="1:25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2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</row>
    <row r="890" spans="1:25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2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</row>
    <row r="891" spans="1:25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2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</row>
    <row r="892" spans="1:25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2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</row>
    <row r="893" spans="1:25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2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</row>
    <row r="894" spans="1:25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2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</row>
    <row r="895" spans="1:25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2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</row>
    <row r="896" spans="1:25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2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</row>
    <row r="897" spans="1:25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2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</row>
    <row r="898" spans="1:25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2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</row>
    <row r="899" spans="1:25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2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</row>
    <row r="900" spans="1:25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2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</row>
    <row r="901" spans="1:25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2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</row>
    <row r="902" spans="1:25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2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</row>
    <row r="903" spans="1:25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2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</row>
    <row r="904" spans="1:25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2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</row>
    <row r="905" spans="1:25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2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</row>
    <row r="906" spans="1:25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2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</row>
    <row r="907" spans="1:25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2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</row>
    <row r="908" spans="1:25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2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</row>
    <row r="909" spans="1:25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2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</row>
    <row r="910" spans="1:25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2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</row>
    <row r="911" spans="1:25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2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</row>
    <row r="912" spans="1:25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2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</row>
    <row r="913" spans="1:25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2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</row>
    <row r="914" spans="1:25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2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</row>
    <row r="915" spans="1:25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2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</row>
    <row r="916" spans="1:25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2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</row>
    <row r="917" spans="1:25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2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</row>
    <row r="918" spans="1:25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2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</row>
    <row r="919" spans="1:25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2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</row>
    <row r="920" spans="1:25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2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</row>
    <row r="921" spans="1:25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2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</row>
    <row r="922" spans="1:25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2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</row>
    <row r="923" spans="1:25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2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</row>
    <row r="924" spans="1:25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2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</row>
    <row r="925" spans="1:25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2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</row>
    <row r="926" spans="1:25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2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</row>
    <row r="927" spans="1:25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2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</row>
    <row r="928" spans="1:25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2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</row>
    <row r="929" spans="1:25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2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</row>
    <row r="930" spans="1:25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2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</row>
    <row r="931" spans="1:25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2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</row>
    <row r="932" spans="1:25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2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</row>
    <row r="933" spans="1:25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2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</row>
    <row r="934" spans="1:25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2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</row>
    <row r="935" spans="1:25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2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</row>
    <row r="936" spans="1:25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2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</row>
    <row r="937" spans="1:25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2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</row>
    <row r="938" spans="1:25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2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</row>
    <row r="939" spans="1:25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2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</row>
    <row r="940" spans="1:25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2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</row>
    <row r="941" spans="1:25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2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</row>
    <row r="942" spans="1:25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2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</row>
    <row r="943" spans="1:25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2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</row>
    <row r="944" spans="1:25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2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</row>
    <row r="945" spans="1:25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2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</row>
    <row r="946" spans="1:25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2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</row>
    <row r="947" spans="1:25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2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</row>
    <row r="948" spans="1:25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2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</row>
    <row r="949" spans="1:25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2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</row>
    <row r="950" spans="1:25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2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</row>
    <row r="951" spans="1:25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2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</row>
    <row r="952" spans="1:25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2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</row>
    <row r="953" spans="1:25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2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</row>
    <row r="954" spans="1:25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2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</row>
    <row r="955" spans="1:25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2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</row>
    <row r="956" spans="1:25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2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</row>
    <row r="957" spans="1:25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2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</row>
    <row r="958" spans="1:25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2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</row>
    <row r="959" spans="1:25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2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</row>
    <row r="960" spans="1:25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2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</row>
    <row r="961" spans="1:25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2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</row>
    <row r="962" spans="1:25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2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</row>
    <row r="963" spans="1:25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2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</row>
    <row r="964" spans="1:25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2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</row>
    <row r="965" spans="1:25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2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</row>
    <row r="966" spans="1:25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2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</row>
    <row r="967" spans="1:25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2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</row>
    <row r="968" spans="1:25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2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</row>
    <row r="969" spans="1:25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2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</row>
    <row r="970" spans="1:25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2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</row>
    <row r="971" spans="1:25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2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</row>
    <row r="972" spans="1:25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2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</row>
    <row r="973" spans="1:25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2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</row>
    <row r="974" spans="1:25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2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</row>
    <row r="975" spans="1:25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2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</row>
    <row r="976" spans="1:25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2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</row>
    <row r="977" spans="1:25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2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</row>
  </sheetData>
  <mergeCells count="1">
    <mergeCell ref="A1:Y1"/>
  </mergeCells>
  <conditionalFormatting sqref="L2:L34 M3:M5 M17:M19">
    <cfRule type="cellIs" dxfId="3" priority="1" operator="equal">
      <formula>"Out of Scope"</formula>
    </cfRule>
  </conditionalFormatting>
  <conditionalFormatting sqref="L2:L34 M3:M5 M17:M19">
    <cfRule type="cellIs" dxfId="2" priority="2" operator="equal">
      <formula>"On Hold"</formula>
    </cfRule>
  </conditionalFormatting>
  <conditionalFormatting sqref="L2:L34 M3:M5 M17:M19">
    <cfRule type="cellIs" dxfId="1" priority="3" operator="equal">
      <formula>"Fail"</formula>
    </cfRule>
  </conditionalFormatting>
  <conditionalFormatting sqref="L2:L34 M3:M5 M17:M19">
    <cfRule type="cellIs" dxfId="0" priority="4" operator="equal">
      <formula>"Pass"</formula>
    </cfRule>
  </conditionalFormatting>
  <dataValidations count="3">
    <dataValidation type="list" allowBlank="1" showErrorMessage="1" sqref="C3:C34" xr:uid="{00000000-0002-0000-0000-000000000000}">
      <formula1>"Smoke,Functional,Data Migration,Integration,Regression,UI,Compatibility,Exploratary,UAT"</formula1>
    </dataValidation>
    <dataValidation type="list" allowBlank="1" showErrorMessage="1" sqref="L3:L34" xr:uid="{00000000-0002-0000-0000-000001000000}">
      <formula1>"Not Executed,Pass,Fail,On Hold,Out of Scope,N/A"</formula1>
    </dataValidation>
    <dataValidation type="list" allowBlank="1" showErrorMessage="1" sqref="D3:D34" xr:uid="{00000000-0002-0000-0000-000002000000}">
      <formula1>"High,Medium,Low"</formula1>
    </dataValidation>
  </dataValidations>
  <pageMargins left="0.7" right="0.7" top="0.75" bottom="0.75" header="0" footer="0"/>
  <pageSetup paperSize="9" orientation="portrait"/>
  <headerFooter>
    <oddHeader>&amp;L000000Classification | Public#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7668F-D0AF-4044-9791-7E50E69CC088}">
  <dimension ref="A1:Y14"/>
  <sheetViews>
    <sheetView workbookViewId="0">
      <selection activeCell="B5" sqref="B5"/>
    </sheetView>
  </sheetViews>
  <sheetFormatPr defaultRowHeight="14.4"/>
  <cols>
    <col min="1" max="1" width="9.109375" style="51" customWidth="1"/>
    <col min="2" max="2" width="64" style="51" customWidth="1"/>
    <col min="3" max="3" width="68.88671875" style="51" customWidth="1"/>
    <col min="4" max="16384" width="8.88671875" style="51"/>
  </cols>
  <sheetData>
    <row r="1" spans="1:25" customFormat="1" ht="60" customHeight="1">
      <c r="A1" s="68" t="s">
        <v>227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</row>
    <row r="2" spans="1:25" s="52" customFormat="1" ht="32.4" customHeight="1">
      <c r="A2" s="59" t="s">
        <v>226</v>
      </c>
      <c r="B2" s="59" t="s">
        <v>179</v>
      </c>
      <c r="C2" s="59" t="s">
        <v>180</v>
      </c>
    </row>
    <row r="3" spans="1:25" ht="32.4" customHeight="1">
      <c r="A3" s="53" t="s">
        <v>181</v>
      </c>
      <c r="B3" s="53" t="s">
        <v>182</v>
      </c>
      <c r="C3" s="54" t="s">
        <v>183</v>
      </c>
    </row>
    <row r="4" spans="1:25" ht="30" customHeight="1">
      <c r="A4" s="53" t="s">
        <v>184</v>
      </c>
      <c r="B4" s="53" t="s">
        <v>185</v>
      </c>
      <c r="C4" s="54" t="s">
        <v>186</v>
      </c>
    </row>
    <row r="5" spans="1:25" ht="41.4" customHeight="1">
      <c r="A5" s="53" t="s">
        <v>187</v>
      </c>
      <c r="B5" s="53" t="s">
        <v>188</v>
      </c>
      <c r="C5" s="54" t="s">
        <v>189</v>
      </c>
    </row>
    <row r="6" spans="1:25" ht="45" customHeight="1">
      <c r="A6" s="53" t="s">
        <v>190</v>
      </c>
      <c r="B6" s="53" t="s">
        <v>191</v>
      </c>
      <c r="C6" s="54" t="s">
        <v>192</v>
      </c>
    </row>
    <row r="7" spans="1:25" ht="40.200000000000003" customHeight="1">
      <c r="A7" s="53" t="s">
        <v>193</v>
      </c>
      <c r="B7" s="53" t="s">
        <v>194</v>
      </c>
      <c r="C7" s="54" t="s">
        <v>195</v>
      </c>
    </row>
    <row r="8" spans="1:25" ht="33.6" customHeight="1">
      <c r="A8" s="53" t="s">
        <v>196</v>
      </c>
      <c r="B8" s="53" t="s">
        <v>197</v>
      </c>
      <c r="C8" s="54" t="s">
        <v>212</v>
      </c>
    </row>
    <row r="9" spans="1:25" ht="45" customHeight="1">
      <c r="A9" s="53" t="s">
        <v>198</v>
      </c>
      <c r="B9" s="53" t="s">
        <v>199</v>
      </c>
      <c r="C9" s="53" t="s">
        <v>200</v>
      </c>
    </row>
    <row r="10" spans="1:25" ht="40.200000000000003" customHeight="1">
      <c r="A10" s="53" t="s">
        <v>201</v>
      </c>
      <c r="B10" s="53" t="s">
        <v>202</v>
      </c>
      <c r="C10" s="54" t="s">
        <v>213</v>
      </c>
    </row>
    <row r="11" spans="1:25" ht="30" customHeight="1">
      <c r="A11" s="53" t="s">
        <v>203</v>
      </c>
      <c r="B11" s="53" t="s">
        <v>204</v>
      </c>
      <c r="C11" s="54" t="s">
        <v>228</v>
      </c>
    </row>
    <row r="12" spans="1:25" ht="40.200000000000003" customHeight="1">
      <c r="A12" s="53" t="s">
        <v>205</v>
      </c>
      <c r="B12" s="53" t="s">
        <v>206</v>
      </c>
      <c r="C12" s="54" t="s">
        <v>229</v>
      </c>
    </row>
    <row r="13" spans="1:25" ht="44.4" customHeight="1">
      <c r="A13" s="53" t="s">
        <v>207</v>
      </c>
      <c r="B13" s="53" t="s">
        <v>208</v>
      </c>
      <c r="C13" s="54" t="s">
        <v>209</v>
      </c>
    </row>
    <row r="14" spans="1:25" ht="42.6" customHeight="1">
      <c r="A14" s="53" t="s">
        <v>210</v>
      </c>
      <c r="B14" s="53" t="s">
        <v>211</v>
      </c>
      <c r="C14" s="54" t="s">
        <v>230</v>
      </c>
    </row>
  </sheetData>
  <mergeCells count="1">
    <mergeCell ref="A1:Y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3EA73-51BA-48B6-8024-3071AD1C3ADA}">
  <dimension ref="A1:Y7"/>
  <sheetViews>
    <sheetView workbookViewId="0">
      <selection activeCell="A2" sqref="A2:XFD2"/>
    </sheetView>
  </sheetViews>
  <sheetFormatPr defaultRowHeight="13.8"/>
  <cols>
    <col min="1" max="1" width="8.88671875" style="58"/>
    <col min="2" max="2" width="90.88671875" style="58" customWidth="1"/>
    <col min="3" max="16384" width="8.88671875" style="58"/>
  </cols>
  <sheetData>
    <row r="1" spans="1:25" s="56" customFormat="1" ht="60" customHeight="1">
      <c r="A1" s="68" t="s">
        <v>225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</row>
    <row r="2" spans="1:25" ht="30.6" customHeight="1">
      <c r="A2" s="59" t="s">
        <v>226</v>
      </c>
      <c r="B2" s="59" t="s">
        <v>224</v>
      </c>
    </row>
    <row r="3" spans="1:25" ht="28.2" customHeight="1">
      <c r="A3" s="55" t="s">
        <v>215</v>
      </c>
      <c r="B3" s="55" t="s">
        <v>216</v>
      </c>
    </row>
    <row r="4" spans="1:25" ht="25.8" customHeight="1">
      <c r="A4" s="55" t="s">
        <v>220</v>
      </c>
      <c r="B4" s="55" t="s">
        <v>217</v>
      </c>
    </row>
    <row r="5" spans="1:25" ht="28.2" customHeight="1">
      <c r="A5" s="55" t="s">
        <v>221</v>
      </c>
      <c r="B5" s="55" t="s">
        <v>21</v>
      </c>
    </row>
    <row r="6" spans="1:25" ht="30.6" customHeight="1">
      <c r="A6" s="55" t="s">
        <v>222</v>
      </c>
      <c r="B6" s="55" t="s">
        <v>218</v>
      </c>
    </row>
    <row r="7" spans="1:25" ht="28.8" customHeight="1">
      <c r="A7" s="55" t="s">
        <v>223</v>
      </c>
      <c r="B7" s="55" t="s">
        <v>219</v>
      </c>
    </row>
  </sheetData>
  <mergeCells count="1">
    <mergeCell ref="A1:Y1"/>
  </mergeCells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CB6C7-8F3C-41D2-B70C-E28B5F382778}">
  <dimension ref="A1:Y12"/>
  <sheetViews>
    <sheetView workbookViewId="0">
      <selection activeCell="C7" sqref="C7"/>
    </sheetView>
  </sheetViews>
  <sheetFormatPr defaultRowHeight="13.8"/>
  <cols>
    <col min="1" max="1" width="18" style="57" customWidth="1"/>
    <col min="2" max="2" width="19.109375" style="57" customWidth="1"/>
    <col min="3" max="3" width="16.33203125" style="57" customWidth="1"/>
    <col min="4" max="4" width="16.77734375" style="57" customWidth="1"/>
    <col min="5" max="5" width="14.6640625" style="57" customWidth="1"/>
    <col min="6" max="6" width="23.6640625" style="57" customWidth="1"/>
    <col min="7" max="16384" width="8.88671875" style="57"/>
  </cols>
  <sheetData>
    <row r="1" spans="1:25" s="56" customFormat="1" ht="60" customHeight="1">
      <c r="A1" s="71" t="s">
        <v>256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</row>
    <row r="2" spans="1:25" ht="30" customHeight="1">
      <c r="A2" s="59" t="s">
        <v>226</v>
      </c>
      <c r="B2" s="59" t="s">
        <v>231</v>
      </c>
      <c r="C2" s="59" t="s">
        <v>232</v>
      </c>
      <c r="D2" s="59" t="s">
        <v>233</v>
      </c>
      <c r="E2" s="59" t="s">
        <v>234</v>
      </c>
      <c r="F2" s="59" t="s">
        <v>235</v>
      </c>
    </row>
    <row r="3" spans="1:25" ht="29.4" customHeight="1">
      <c r="A3" s="53" t="s">
        <v>236</v>
      </c>
      <c r="B3" s="53" t="s">
        <v>237</v>
      </c>
      <c r="C3" s="53" t="s">
        <v>238</v>
      </c>
      <c r="D3" s="60" t="s">
        <v>248</v>
      </c>
      <c r="E3" s="53" t="s">
        <v>239</v>
      </c>
      <c r="F3" s="53" t="s">
        <v>240</v>
      </c>
    </row>
    <row r="4" spans="1:25" ht="23.4" customHeight="1">
      <c r="A4" s="53" t="s">
        <v>241</v>
      </c>
      <c r="B4" s="53" t="s">
        <v>242</v>
      </c>
      <c r="C4" s="53" t="s">
        <v>238</v>
      </c>
      <c r="D4" s="60" t="s">
        <v>249</v>
      </c>
      <c r="E4" s="53" t="s">
        <v>239</v>
      </c>
      <c r="F4" s="53" t="s">
        <v>240</v>
      </c>
    </row>
    <row r="5" spans="1:25" ht="28.2" customHeight="1">
      <c r="A5" s="53" t="s">
        <v>243</v>
      </c>
      <c r="B5" s="53" t="s">
        <v>244</v>
      </c>
      <c r="C5" s="53" t="s">
        <v>238</v>
      </c>
      <c r="D5" s="60" t="s">
        <v>250</v>
      </c>
      <c r="E5" s="53" t="s">
        <v>239</v>
      </c>
      <c r="F5" s="53" t="s">
        <v>240</v>
      </c>
    </row>
    <row r="6" spans="1:25" ht="29.4" customHeight="1">
      <c r="A6" s="53" t="s">
        <v>245</v>
      </c>
      <c r="B6" s="53" t="s">
        <v>246</v>
      </c>
      <c r="C6" s="53" t="s">
        <v>238</v>
      </c>
      <c r="D6" s="60" t="s">
        <v>251</v>
      </c>
      <c r="E6" s="53" t="s">
        <v>239</v>
      </c>
      <c r="F6" s="53" t="s">
        <v>240</v>
      </c>
    </row>
    <row r="7" spans="1:25" ht="27.6" customHeight="1">
      <c r="A7" s="53" t="s">
        <v>247</v>
      </c>
      <c r="B7" s="53" t="s">
        <v>257</v>
      </c>
      <c r="C7" s="53" t="s">
        <v>258</v>
      </c>
      <c r="D7" s="60" t="s">
        <v>248</v>
      </c>
      <c r="E7" s="53" t="s">
        <v>239</v>
      </c>
      <c r="F7" s="53" t="s">
        <v>240</v>
      </c>
    </row>
    <row r="8" spans="1:25" ht="27" customHeight="1">
      <c r="A8" s="53" t="s">
        <v>255</v>
      </c>
      <c r="B8" s="53" t="s">
        <v>254</v>
      </c>
      <c r="C8" s="53" t="s">
        <v>238</v>
      </c>
      <c r="D8" s="60" t="s">
        <v>253</v>
      </c>
      <c r="E8" s="53" t="s">
        <v>239</v>
      </c>
      <c r="F8" s="53" t="s">
        <v>252</v>
      </c>
    </row>
    <row r="9" spans="1:25">
      <c r="A9" s="61"/>
      <c r="B9" s="61"/>
      <c r="C9" s="61"/>
      <c r="D9" s="61"/>
      <c r="E9" s="61"/>
      <c r="F9" s="61"/>
    </row>
    <row r="10" spans="1:25">
      <c r="A10" s="61"/>
      <c r="B10" s="61"/>
      <c r="C10" s="61"/>
      <c r="D10" s="61"/>
      <c r="E10" s="61"/>
      <c r="F10" s="61"/>
    </row>
    <row r="11" spans="1:25">
      <c r="A11" s="61"/>
      <c r="B11" s="61"/>
      <c r="C11" s="61"/>
      <c r="D11" s="61"/>
      <c r="E11" s="61"/>
      <c r="F11" s="61"/>
    </row>
    <row r="12" spans="1:25">
      <c r="A12" s="61"/>
      <c r="B12" s="61"/>
      <c r="C12" s="61"/>
      <c r="D12" s="61"/>
      <c r="E12" s="61"/>
      <c r="F12" s="61"/>
    </row>
  </sheetData>
  <mergeCells count="1">
    <mergeCell ref="A1:Y1"/>
  </mergeCells>
  <phoneticPr fontId="1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A6D71-720A-4B9B-8E54-0909766FA388}">
  <dimension ref="A3:E6"/>
  <sheetViews>
    <sheetView tabSelected="1" workbookViewId="0">
      <selection activeCell="F12" sqref="F12"/>
    </sheetView>
  </sheetViews>
  <sheetFormatPr defaultRowHeight="14.4"/>
  <cols>
    <col min="5" max="5" width="16" customWidth="1"/>
  </cols>
  <sheetData>
    <row r="3" spans="1:5">
      <c r="A3" s="72" t="s">
        <v>259</v>
      </c>
      <c r="B3" s="73"/>
      <c r="C3" s="73"/>
      <c r="D3" s="73"/>
      <c r="E3" s="73"/>
    </row>
    <row r="4" spans="1:5">
      <c r="A4" s="73"/>
      <c r="B4" s="73"/>
      <c r="C4" s="73"/>
      <c r="D4" s="73"/>
      <c r="E4" s="73"/>
    </row>
    <row r="5" spans="1:5">
      <c r="A5" s="73"/>
      <c r="B5" s="73"/>
      <c r="C5" s="73"/>
      <c r="D5" s="73"/>
      <c r="E5" s="73"/>
    </row>
    <row r="6" spans="1:5" ht="44.4" customHeight="1">
      <c r="A6" s="73"/>
      <c r="B6" s="73"/>
      <c r="C6" s="73"/>
      <c r="D6" s="73"/>
      <c r="E6" s="73"/>
    </row>
  </sheetData>
  <mergeCells count="1">
    <mergeCell ref="A3:E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Test Results</vt:lpstr>
      <vt:lpstr>Test Cases </vt:lpstr>
      <vt:lpstr>Assumptions</vt:lpstr>
      <vt:lpstr>Preconditions</vt:lpstr>
      <vt:lpstr>Test data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2026-02-26T21:30:52Z</dcterms:modified>
</cp:coreProperties>
</file>